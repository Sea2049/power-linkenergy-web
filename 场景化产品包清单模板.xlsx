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封面" sheetId="1" r:id="rId1"/>
    <sheet name="场景化产品包清单" sheetId="2" r:id="rId2"/>
    <sheet name="产品组件库" sheetId="3" r:id="rId3"/>
    <sheet name="定价模板" sheetId="4" r:id="rId4"/>
    <sheet name="正式报价单模板" sheetId="5" r:id="rId5"/>
    <sheet name="销售话术与FAQ" sheetId="6" r:id="rId6"/>
    <sheet name="认证与物流清单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<sst xmlns="http://schemas.openxmlformats.org/spreadsheetml/2006/main" count="1235" uniqueCount="961">
  <si>
    <t>场景化产品包清单模板</t>
  </si>
  <si>
    <t>储能/UPS配套整合入口 — 从单品销售转向场景化解决方案</t>
  </si>
  <si>
    <t>模板说明</t>
  </si>
  <si>
    <t>本模板用于搭建场景化产品包销售体系，不做单品参数表</t>
  </si>
  <si>
    <t>每个产品包包含：核心主机 + DC/DC模块 + 工业线束 + 温度/环境监测</t>
  </si>
  <si>
    <t>目标客户：小批量采购方（10-100台/套），工厂看不上的蚂蚁市场</t>
  </si>
  <si>
    <t>差异化武器：迷你MOQ + 48小时出方案 + 一站式配齐</t>
  </si>
  <si>
    <t>使用方法：按产品包名称和目标客户维度筛选，直接复制到阿里/独立站详情页</t>
  </si>
  <si>
    <t>工作表索引</t>
  </si>
  <si>
    <t>封面</t>
  </si>
  <si>
    <t>模板说明与使用指南</t>
  </si>
  <si>
    <t>场景化产品包清单</t>
  </si>
  <si>
    <t>27个细分场景的产品包组成、目标客户、核心卖点、定价框架</t>
  </si>
  <si>
    <t>产品组件库</t>
  </si>
  <si>
    <t>四大组件类别（主机/DC-DC/线束/监测）的SKU清单与规格(43项)</t>
  </si>
  <si>
    <t>定价模板</t>
  </si>
  <si>
    <t>每个产品包的成本、售价、毛利率计算框架(含公式)</t>
  </si>
  <si>
    <t>正式报价单模板</t>
  </si>
  <si>
    <t>可直接发客户的Quotation：表头/明细/条款/Incoterms</t>
  </si>
  <si>
    <t>销售话术与FAQ</t>
  </si>
  <si>
    <t>每个包的中英定位、卖点话术、异议应答、竞品对比</t>
  </si>
  <si>
    <t>认证与物流清单</t>
  </si>
  <si>
    <t>各市场认证要求、HS编码、装柜与危险品物流参数</t>
  </si>
  <si>
    <t>场景分类统计</t>
  </si>
  <si>
    <t>A 基础配套包</t>
  </si>
  <si>
    <t>7个场景 — 验证试单与引流</t>
  </si>
  <si>
    <t>B 安全运维包</t>
  </si>
  <si>
    <t>9个场景 — 建立差异化和利润空间</t>
  </si>
  <si>
    <t>C 项目交付包</t>
  </si>
  <si>
    <t>11个场景 — 沿着同一客户扩展</t>
  </si>
  <si>
    <t>分类</t>
  </si>
  <si>
    <t>产品包名称</t>
  </si>
  <si>
    <t>核心场景</t>
  </si>
  <si>
    <t>目标客户画像</t>
  </si>
  <si>
    <t>典型采购量</t>
  </si>
  <si>
    <t>核心组件组成</t>
  </si>
  <si>
    <t>核心卖点</t>
  </si>
  <si>
    <t>预估客单价(USD)</t>
  </si>
  <si>
    <t>适用地区</t>
  </si>
  <si>
    <t>MOQ建议</t>
  </si>
  <si>
    <t>小型数据中心UPS备用电源套装</t>
  </si>
  <si>
    <t>50-200机柜的小型数据中心/IDC</t>
  </si>
  <si>
    <t>数据中心Facility Manager、IT运维主管、小型IDC运营商</t>
  </si>
  <si>
    <t>5-20套</t>
  </si>
  <si>
    <t>在线式UPS 6-20kVA + 48V100Ah锂电模组 + M12温度监测线束 + SNMP远程管理卡</t>
  </si>
  <si>
    <t>高功率密度适配算力服务器 | 锂电5年免维护 | SNMP远程监控 | 即插即用</t>
  </si>
  <si>
    <t>$3000-8000</t>
  </si>
  <si>
    <t>东南亚、中东、东欧</t>
  </si>
  <si>
    <t>1套</t>
  </si>
  <si>
    <t>5G/4G通信基站备电套装</t>
  </si>
  <si>
    <t>城市郊区/偏远地区通信塔站</t>
  </si>
  <si>
    <t>电信运营商采购经理、塔站运维承包商、通信集成商</t>
  </si>
  <si>
    <t>10-50套</t>
  </si>
  <si>
    <t>高频在线UPS 1-3kVA + 12V100Ah锂电直替包 + M12环境监测传感器线束 + 防雷模块</t>
  </si>
  <si>
    <t>塔站不间断供电 | 耐40°C高温 | 防雷击 | 远程告警</t>
  </si>
  <si>
    <t>$800-2500</t>
  </si>
  <si>
    <t>东南亚、非洲、中东</t>
  </si>
  <si>
    <t>5套</t>
  </si>
  <si>
    <t>小型工商业储能系统套装</t>
  </si>
  <si>
    <t>工厂/商超/写字楼的峰谷套利</t>
  </si>
  <si>
    <t>工厂能源经理、商超运营总监、小型工商业主</t>
  </si>
  <si>
    <t>3-10套</t>
  </si>
  <si>
    <t>50-100kWh储能柜 + DC/DC双向变换器 + M12 BMS通信线束 + 温度采集模块</t>
  </si>
  <si>
    <t>峰谷电价套利 | 需量管理降电费 | 应急备电 | 模块化扩展</t>
  </si>
  <si>
    <t>$5000-15000</t>
  </si>
  <si>
    <t>欧洲、东南亚</t>
  </si>
  <si>
    <t>家庭/小型办公光储一体化套装</t>
  </si>
  <si>
    <t>别墅、小型办公室、SOHO</t>
  </si>
  <si>
    <t>个人业主、小型企业主、电商卖家</t>
  </si>
  <si>
    <t>20-100套</t>
  </si>
  <si>
    <t>3-5kW混合逆变器 + 5-10kWh壁挂储能电池 + M12直流连接线束 + 环境监测传感器</t>
  </si>
  <si>
    <t>光伏白天发电储能 | 夜间供电 | UPS无缝切换 | APP监控</t>
  </si>
  <si>
    <t>$2000-5000</t>
  </si>
  <si>
    <t>全球</t>
  </si>
  <si>
    <t>小型机房边缘计算节点电源套装</t>
  </si>
  <si>
    <t>边缘计算节点、小型服务器机房</t>
  </si>
  <si>
    <t>云计算服务商、CDN运营商、边缘计算集成商</t>
  </si>
  <si>
    <t>5-30套</t>
  </si>
  <si>
    <t>机架式UPS 1-6kVA + 48V50Ah锂电模组 + M12以太网管理线 + 机柜温湿度监测</t>
  </si>
  <si>
    <t>边缘节点零停机 | 1U/2U紧凑设计 | 智能温控风扇 | 并机扩展</t>
  </si>
  <si>
    <t>$1500-4000</t>
  </si>
  <si>
    <t>北美、欧洲、亚太</t>
  </si>
  <si>
    <t>2套</t>
  </si>
  <si>
    <t>充电桩直流配电与备电套装</t>
  </si>
  <si>
    <t>充电站/充电桩运营场站</t>
  </si>
  <si>
    <t>充电运营商(CPO)、充电桩集成商、停车场运营方</t>
  </si>
  <si>
    <t>工商业储能柜 + 双向DC/DC变换器 + M12动力监测线束 + 漏电/温度保护模块</t>
  </si>
  <si>
    <t>削峰填谷降扩容费 | 应对电网容量不足 | 充电高峰备电 | 远程计费联动</t>
  </si>
  <si>
    <t>$6000-20000</t>
  </si>
  <si>
    <t>欧洲、东南亚、中东</t>
  </si>
  <si>
    <t>安防监控/智慧城市杆站供电套装</t>
  </si>
  <si>
    <t>路口监控杆、智慧灯杆、卡口</t>
  </si>
  <si>
    <t>智慧城市集成商、安防工程商、市政项目承包商</t>
  </si>
  <si>
    <t>小型UPS/不间断电源 + 12V50Ah锂电 + DC/DC稳压模块 + M12户外防护线束 + 防雷器</t>
  </si>
  <si>
    <t>断电持续录像 | 户外IP65防护 | 防雷防浪涌 | 远程电量监测</t>
  </si>
  <si>
    <t>$400-1200</t>
  </si>
  <si>
    <t>中东、东南亚、非洲</t>
  </si>
  <si>
    <t>10套</t>
  </si>
  <si>
    <t>储能柜BMS温度监测套装</t>
  </si>
  <si>
    <t>储能电站/工商业储能柜</t>
  </si>
  <si>
    <t>储能系统集成商、储能电站运维商、能源管理公司</t>
  </si>
  <si>
    <t>M12 A-coded温度传感器线束(NTC/DS18B20) + M12电压采集线 + BMS通信总线 + 液冷管路传感器</t>
  </si>
  <si>
    <t>电池模组级温度监测 | 过温预警 | 液冷流量监控 | CAN/Modbus通信</t>
  </si>
  <si>
    <t>$80-300</t>
  </si>
  <si>
    <t>UPS机房环境监控套装</t>
  </si>
  <si>
    <t>UPS电池房/配电室/机房</t>
  </si>
  <si>
    <t>数据中心运维经理、设施管理公司、工业厂房维护部</t>
  </si>
  <si>
    <t>M12温湿度监测线束 + M12烟雾传感器线 + 水浸检测线 + 干接点信号控制线</t>
  </si>
  <si>
    <t>电池房多点位环境监测 | 烟雾/水浸告警 | 干接点联动UPS | 消防合规</t>
  </si>
  <si>
    <t>$150-500</t>
  </si>
  <si>
    <t>东南亚、中东、非洲</t>
  </si>
  <si>
    <t>工业设备预测性维护套装</t>
  </si>
  <si>
    <t>工厂生产线/旋转机械/变压器</t>
  </si>
  <si>
    <t>工厂设备经理、维护工程师、自动化集成商</t>
  </si>
  <si>
    <t>10-30套</t>
  </si>
  <si>
    <t>M12振动/温度传感器线束 + M12电流传感器线 + 红外热成像监测 + 数据采集网关</t>
  </si>
  <si>
    <t>轴承/电机过热预警 | 电流异常监测 | 红外热像可视化 | 提前60天故障预警</t>
  </si>
  <si>
    <t>$500-1500</t>
  </si>
  <si>
    <t>电池储能消防安全监测套装</t>
  </si>
  <si>
    <t>锂电池储能舱/储能电站</t>
  </si>
  <si>
    <t>储能项目EPC总包、消防安全承包商、储能电站运营方</t>
  </si>
  <si>
    <t>M12烟雾/温度复合传感器线 + M12高压互锁(HVIL)线束 + 可燃气体检测线 + 消防联动干接点线</t>
  </si>
  <si>
    <t>储能舱级消防监测 | 高压安全互锁 | 可燃气体检测 | 消防联动</t>
  </si>
  <si>
    <t>$300-800</t>
  </si>
  <si>
    <t>远程设备运维监控套装</t>
  </si>
  <si>
    <t>分布式UPS/储能/光伏站点</t>
  </si>
  <si>
    <t>运维服务公司、远程监控平台商、能源资产管理公司</t>
  </si>
  <si>
    <t>4G/LoRa通信网关 + M12传感器采集线束 + 云平台接入模块 + 短信/邮件告警模块</t>
  </si>
  <si>
    <t>分布式站点集中监控 | 4G远程通信 | 云平台数据看板 | 异常自动告警</t>
  </si>
  <si>
    <t>非洲、东南亚、南美</t>
  </si>
  <si>
    <t>UPS电池在线监测与活化改造套装</t>
  </si>
  <si>
    <t>在用UPS铅酸/锂电电池组</t>
  </si>
  <si>
    <t>数据中心运维、电池维保服务商、银行/医院后勤</t>
  </si>
  <si>
    <t>单体电压内阻监测模块 + M12温度采集线束 + 充放电活化仪 + 数据采集网关</t>
  </si>
  <si>
    <t>提前发现落后电池 | 在线内阻监测 | 延长电池寿命 | 减少突发停电</t>
  </si>
  <si>
    <t>$300-1000</t>
  </si>
  <si>
    <t>东南亚、中东、欧洲</t>
  </si>
  <si>
    <t>数据中心微模块动环监控套装</t>
  </si>
  <si>
    <t>微模块机房/边缘机房</t>
  </si>
  <si>
    <t>数据中心运维、机房集成商、动环系统服务商</t>
  </si>
  <si>
    <t>动环主机 + M12温湿度/烟感/水浸/门禁线束 + 配电监测模块 + 4G/以太网网关</t>
  </si>
  <si>
    <t>温湿度/漏水/烟雾集中告警 | 配电与PUE监测 | 短信微信告警 | 标准协议对接</t>
  </si>
  <si>
    <t>$500-2000</t>
  </si>
  <si>
    <t>加油站/危化场所防爆监测套装</t>
  </si>
  <si>
    <t>加油站/化工厂/油库</t>
  </si>
  <si>
    <t>石化企业安全部、加油站运营商、危化品仓储方</t>
  </si>
  <si>
    <t>防爆型可燃气体探测器 + 防爆M12温度线束 + 防爆电源箱 + 声光报警与联动模块</t>
  </si>
  <si>
    <t>ATEX/IECEx防爆等级 | 可燃气体实时监测 | 超限自动切断 | 安全合规</t>
  </si>
  <si>
    <t>$800-3000</t>
  </si>
  <si>
    <t>光伏电站直流拉弧(AFCI)与监测套装</t>
  </si>
  <si>
    <t>工商业屋顶/地面光伏电站</t>
  </si>
  <si>
    <t>光伏EPC、电站运维(O&amp;M)、屋顶业主</t>
  </si>
  <si>
    <t>直流拉弧检测模块(AFCI) + 组串电流监测 + M12直流线束 + 温度/绝缘监测 + 数据网关</t>
  </si>
  <si>
    <t>防直流拉弧火灾 | 组串级发电监测 | 绝缘阻抗预警 | 提升发电量</t>
  </si>
  <si>
    <t>$300-1200</t>
  </si>
  <si>
    <t>欧洲、北美、东南亚</t>
  </si>
  <si>
    <t>非洲诊所医疗级电源套装</t>
  </si>
  <si>
    <t>非洲/东南亚偏远地区诊所/卫生站</t>
  </si>
  <si>
    <t>NGO采购官、政府卫生部门、国际援助机构</t>
  </si>
  <si>
    <t>在线式UPS 2-5kVA + 太阳能板 + 12V200Ah深循环锂电 + DC/DC充电控制器 + M12环境监测线</t>
  </si>
  <si>
    <t>医疗设备零中断 | 太阳能+市电双输入 | 48小时离网续航 | 医疗级隔离</t>
  </si>
  <si>
    <t>$2000-6000</t>
  </si>
  <si>
    <t>非洲、东南亚</t>
  </si>
  <si>
    <t>离网太阳能+储能一体化套装</t>
  </si>
  <si>
    <t>无电网/弱电网地区</t>
  </si>
  <si>
    <t>离网社区开发商、农村电气化项目承包商、海岛度假村</t>
  </si>
  <si>
    <t>3-15套</t>
  </si>
  <si>
    <t>5-10kW光伏阵列 + 20-50kWh储能柜 + 混合逆变器 + DC/DC MPPT控制器 + M12直流线束</t>
  </si>
  <si>
    <t>纯离网供电 | 光伏优先 | 储能备电 | 柴油发电机自动切换</t>
  </si>
  <si>
    <t>$8000-25000</t>
  </si>
  <si>
    <t>非洲、东南亚海岛</t>
  </si>
  <si>
    <t>小型工厂应急电源套装</t>
  </si>
  <si>
    <t>制造业工厂/加工厂/装配车间</t>
  </si>
  <si>
    <t>工厂厂长、生产总监、工业园区管理方</t>
  </si>
  <si>
    <t>工频在线UPS 10-30kVA + 外置电池柜 + ATS自动切换开关 + M12设备监测线束</t>
  </si>
  <si>
    <t>生产线零停机 | ATS无缝切换 | 抗工业电网波动 | 谐波治理</t>
  </si>
  <si>
    <t>$5000-18000</t>
  </si>
  <si>
    <t>东南亚、中东、南美</t>
  </si>
  <si>
    <t>冷链物流温度监控+备电套装</t>
  </si>
  <si>
    <t>冷库/冷藏车/冷链仓储</t>
  </si>
  <si>
    <t>冷链物流公司、食品加工企业、医药冷链运营商</t>
  </si>
  <si>
    <t>便携式UPS 1-2kVA + 12V100Ah锂电 + M12温湿度传感器线 + GPS定位模块 + 4G数据传输</t>
  </si>
  <si>
    <t>冷链全程温度追溯 | 断电持续制冷 | GPS实时定位 | 云平台合规报告</t>
  </si>
  <si>
    <t>$1200-3500</t>
  </si>
  <si>
    <t>智慧农业灌溉监控电源套装</t>
  </si>
  <si>
    <t>大型农场/温室大棚/葡萄园</t>
  </si>
  <si>
    <t>农业科技公司、农场主、智慧农业集成商</t>
  </si>
  <si>
    <t>太阳能供电系统 + 12V50Ah锂电 + DC/DC稳压模块 + M12土壤/气象传感器线束 + LoRa网关</t>
  </si>
  <si>
    <t>灌溉系统离网供电 | 土壤墒情监测 | 气象数据自动采集 | 节水节电</t>
  </si>
  <si>
    <t>$600-1800</t>
  </si>
  <si>
    <t>中东、非洲、东南亚</t>
  </si>
  <si>
    <t>电信局站DC-48V通信电源交付套装</t>
  </si>
  <si>
    <t>电信局端/核心机房/汇聚机房</t>
  </si>
  <si>
    <t>电信运营商、通信工程局、网络设备集成商</t>
  </si>
  <si>
    <t>-48V通信电源系统(整流模块) + 48V锂电后备 + DC配电单元 + M12监控线束 + 动环对接</t>
  </si>
  <si>
    <t>电信级-48V直流供电 | N+1整流冗余 | 锂电后备 | 网管远程监控</t>
  </si>
  <si>
    <t>$4000-15000</t>
  </si>
  <si>
    <t>医院/手术室医疗级UPS交付套装</t>
  </si>
  <si>
    <t>医院手术室/ICU/影像科</t>
  </si>
  <si>
    <t>医院后勤基建处、医疗工程集成商、设计院</t>
  </si>
  <si>
    <t>2-10套</t>
  </si>
  <si>
    <t>工频在线UPS 10-40kVA + IT隔离电源系统 + 外置电池柜 + 绝缘监测仪 + M12监测线束</t>
  </si>
  <si>
    <t>医疗IT隔离供电 | 绝缘故障定位 | ≤0.5ms切换 | 符合IEC60364-7-710</t>
  </si>
  <si>
    <t>$8000-30000</t>
  </si>
  <si>
    <t>矿山/油田防爆电源交付套装</t>
  </si>
  <si>
    <t>矿井/油田/钻井平台</t>
  </si>
  <si>
    <t>矿业公司、油田服务商、防爆工程承包商</t>
  </si>
  <si>
    <t>防爆UPS/防爆电源箱 + 防爆锂电组 + 防爆DC/DC + 防爆M12线束 + 防爆监测传感器</t>
  </si>
  <si>
    <t>ATEX/IECEx认证 | 矿用隔爆外壳 | 高粉尘高湿适应 | 本安回路</t>
  </si>
  <si>
    <t>$6000-25000</t>
  </si>
  <si>
    <t>中东、非洲、南美、东南亚</t>
  </si>
  <si>
    <t>船舶/海洋平台电源交付套装</t>
  </si>
  <si>
    <t>船舶机舱/海上平台/港口设备</t>
  </si>
  <si>
    <t>船厂、船东、海工装备集成商</t>
  </si>
  <si>
    <t>船用UPS(防盐雾) + 24/48V船用锂电 + 船用DC/DC + 耐盐雾M12线束 + 振动/温度监测</t>
  </si>
  <si>
    <t>船级社认证(CCS/DNV) | 耐盐雾防腐 | 抗摇摆振动 | 宽温域运行</t>
  </si>
  <si>
    <t>$5000-22000</t>
  </si>
  <si>
    <t>全球沿海/海工</t>
  </si>
  <si>
    <t>银行/ATM网点备电交付套装</t>
  </si>
  <si>
    <t>银行营业厅/ATM/自助终端</t>
  </si>
  <si>
    <t>银行后勤采购、金融设备集成商、ATM运营商</t>
  </si>
  <si>
    <t>在线式UPS 1-6kVA + 锂电后备模组 + ATS切换 + M12动环监测 + 远程批量管理软件</t>
  </si>
  <si>
    <t>网点零中断营业 | 锂电长延时 | 多网点集中管理 | 维保提醒</t>
  </si>
  <si>
    <t>$1500-6000</t>
  </si>
  <si>
    <t>移动应急/抢险便携储能交付套装</t>
  </si>
  <si>
    <t>应急救援/户外作业/抢修车</t>
  </si>
  <si>
    <t>应急管理部门、电力抢修队、户外作业承包商</t>
  </si>
  <si>
    <t>便携式移动储能电源 1-5kWh + 折叠光伏板 + 多口DC/AC输出 + GPS定位 + 快充模块</t>
  </si>
  <si>
    <t>即取即用应急供电 | 太阳能补电 | 多设备同充 | 车载快充</t>
  </si>
  <si>
    <t>注：预估客单价为参考区间，实际定价需根据供应商FOB价、目标市场溢价能力和竞争环境调整。建议组合包加价15-25%。核心组件组成中的型号可在「产品组件库」中查到对应SKU。</t>
  </si>
  <si>
    <t>组件类别</t>
  </si>
  <si>
    <t>SKU编号</t>
  </si>
  <si>
    <t>产品名称</t>
  </si>
  <si>
    <t>核心规格</t>
  </si>
  <si>
    <t>适用场景</t>
  </si>
  <si>
    <t>参考FOB价(USD)</t>
  </si>
  <si>
    <t>起订量</t>
  </si>
  <si>
    <t>代表厂商</t>
  </si>
  <si>
    <t>认证要求</t>
  </si>
  <si>
    <t>备注</t>
  </si>
  <si>
    <t>UPS/储能主机</t>
  </si>
  <si>
    <t>HOST-001</t>
  </si>
  <si>
    <t>高频在线式UPS 1-3kVA</t>
  </si>
  <si>
    <t>1kVA/2kVA/3kVA可选, 220VAC输出, 在线双变换</t>
  </si>
  <si>
    <t>通信基站/小型机房/医疗</t>
  </si>
  <si>
    <t>$200-500</t>
  </si>
  <si>
    <t>10台</t>
  </si>
  <si>
    <t>安第斯/盛威</t>
  </si>
  <si>
    <t>CE/ISO</t>
  </si>
  <si>
    <t>标准机架式或塔式</t>
  </si>
  <si>
    <t>HOST-002</t>
  </si>
  <si>
    <t>高频在线式UPS 6-10kVA</t>
  </si>
  <si>
    <t>6kVA/10kVA, 380VAC三进单出, 在线双变换</t>
  </si>
  <si>
    <t>数据中心/工厂/边缘节点</t>
  </si>
  <si>
    <t>$800-1500</t>
  </si>
  <si>
    <t>5台</t>
  </si>
  <si>
    <t>安第斯/博新</t>
  </si>
  <si>
    <t>机架式3U/4U设计</t>
  </si>
  <si>
    <t>HOST-003</t>
  </si>
  <si>
    <t>工频在线式UPS 10-30kVA</t>
  </si>
  <si>
    <t>10kVA/20kVA/30kVA, 隔离变压器, 抗冲击负载</t>
  </si>
  <si>
    <t>工厂/大型设备/应急电源</t>
  </si>
  <si>
    <t>1台</t>
  </si>
  <si>
    <t>博新/盛威</t>
  </si>
  <si>
    <t>工业级隔离,谐波治理</t>
  </si>
  <si>
    <t>HOST-004</t>
  </si>
  <si>
    <t>机架式锂电模组48V100Ah</t>
  </si>
  <si>
    <t>48V 100Ah LiFePO4, 5kWh容量, 机架式2U</t>
  </si>
  <si>
    <t>数据中心/通信/储能</t>
  </si>
  <si>
    <t>$800-1200</t>
  </si>
  <si>
    <t>KEBE/Virtue</t>
  </si>
  <si>
    <t>UN38.3/CE/IEC62619</t>
  </si>
  <si>
    <t>可并联扩展</t>
  </si>
  <si>
    <t>HOST-005</t>
  </si>
  <si>
    <t>壁挂储能电池51.2V100Ah</t>
  </si>
  <si>
    <t>51.2V 100Ah LiFePO4, 5kWh, 壁挂式</t>
  </si>
  <si>
    <t>家庭/商用储能</t>
  </si>
  <si>
    <t>$900-1400</t>
  </si>
  <si>
    <t>Virtue/Tycorun</t>
  </si>
  <si>
    <t>UN38.3/CE</t>
  </si>
  <si>
    <t>CATL/BYD电芯</t>
  </si>
  <si>
    <t>HOST-006</t>
  </si>
  <si>
    <t>12V锂电直替包7-200Ah</t>
  </si>
  <si>
    <t>12.8V 7/20/50/100/200Ah LiFePO4, BCI尺寸</t>
  </si>
  <si>
    <t>UPS替换/基站/小型储能</t>
  </si>
  <si>
    <t>$25-400</t>
  </si>
  <si>
    <t>10个</t>
  </si>
  <si>
    <t>Virtue/Powervic</t>
  </si>
  <si>
    <t>UN38.3/MSDS</t>
  </si>
  <si>
    <t>直替铅酸,即插即用</t>
  </si>
  <si>
    <t>HOST-007</t>
  </si>
  <si>
    <t>混合逆变器3-10kW</t>
  </si>
  <si>
    <t>3kW/5kW/10kW, 48VDC输入, 220VAC输出, MPPT</t>
  </si>
  <si>
    <t>光储一体化/离网</t>
  </si>
  <si>
    <t>$400-1000</t>
  </si>
  <si>
    <t>盛威/博新</t>
  </si>
  <si>
    <t>CE/VDE</t>
  </si>
  <si>
    <t>光伏+储能+市电切换</t>
  </si>
  <si>
    <t>HOST-008</t>
  </si>
  <si>
    <t>工商业储能柜100kWh</t>
  </si>
  <si>
    <t>100kWh磷酸铁锂, 1500V高压平台, 户外IP54</t>
  </si>
  <si>
    <t>工商业峰谷套利</t>
  </si>
  <si>
    <t>$15000-25000</t>
  </si>
  <si>
    <t>Tycorun/KEBE</t>
  </si>
  <si>
    <t>CE/IEC62619</t>
  </si>
  <si>
    <t>模块化,可扩展至MWh</t>
  </si>
  <si>
    <t>HOST-009</t>
  </si>
  <si>
    <t>-48V通信电源系统(整流柜)</t>
  </si>
  <si>
    <t>-48VDC, 50-200A, N+1整流模块, 网管监控</t>
  </si>
  <si>
    <t>电信局站/通信机房</t>
  </si>
  <si>
    <t>CE/YD/T</t>
  </si>
  <si>
    <t>电信级直流供电,锂电兼容</t>
  </si>
  <si>
    <t>HOST-010</t>
  </si>
  <si>
    <t>防爆UPS/防爆电源箱</t>
  </si>
  <si>
    <t>Exd IIB T4, 1-5kVA, 隔爆不锈钢外壳</t>
  </si>
  <si>
    <t>矿山/油田/危化场所</t>
  </si>
  <si>
    <t>$2000-8000</t>
  </si>
  <si>
    <t>华荣/新黎明</t>
  </si>
  <si>
    <t>ATEX/IECEx/CE</t>
  </si>
  <si>
    <t>本安回路,高粉尘高湿适应</t>
  </si>
  <si>
    <t>HOST-011</t>
  </si>
  <si>
    <t>便携式移动储能电源</t>
  </si>
  <si>
    <t>1-5kWh, AC/DC多口输出, 快充, LiFePO4</t>
  </si>
  <si>
    <t>应急/户外/抢险</t>
  </si>
  <si>
    <t>$300-1500</t>
  </si>
  <si>
    <t>Virtue/正浩代工</t>
  </si>
  <si>
    <t>UN38.3/CE/FCC</t>
  </si>
  <si>
    <t>可选折叠光伏板/车充</t>
  </si>
  <si>
    <t>HOST-012</t>
  </si>
  <si>
    <t>船用UPS(防盐雾)</t>
  </si>
  <si>
    <t>1-10kVA, 三防漆PCB, 宽温-25~60°C</t>
  </si>
  <si>
    <t>船舶/海工平台</t>
  </si>
  <si>
    <t>$1500-7000</t>
  </si>
  <si>
    <t>CCS/DNV/CE</t>
  </si>
  <si>
    <t>抗摇摆振动,耐盐雾</t>
  </si>
  <si>
    <t>DC/DC模块</t>
  </si>
  <si>
    <t>DCDC-001</t>
  </si>
  <si>
    <t>双向DC/DC变换器48V/100A</t>
  </si>
  <si>
    <t>48V 100A双向, 充放电控制, CAN通信</t>
  </si>
  <si>
    <t>储能系统/电池管理</t>
  </si>
  <si>
    <t>$150-300</t>
  </si>
  <si>
    <t>泰科润/盛威</t>
  </si>
  <si>
    <t>CE</t>
  </si>
  <si>
    <t>BMS联动,效率&gt;95%</t>
  </si>
  <si>
    <t>DCDC-002</t>
  </si>
  <si>
    <t>MPPT太阳能控制器48V/60A</t>
  </si>
  <si>
    <t>48V 60A MPPT, 追踪效率99.5%, RS485</t>
  </si>
  <si>
    <t>光储系统/离网供电</t>
  </si>
  <si>
    <t>$80-150</t>
  </si>
  <si>
    <t>多路MPPT输入</t>
  </si>
  <si>
    <t>DCDC-003</t>
  </si>
  <si>
    <t>DC/DC稳压模块12V/24V/48V</t>
  </si>
  <si>
    <t>宽电压输入9-60V, 稳压输出12/24/48V</t>
  </si>
  <si>
    <t>工业设备/传感器供电</t>
  </si>
  <si>
    <t>$15-40</t>
  </si>
  <si>
    <t>50台</t>
  </si>
  <si>
    <t>APLUS/智果</t>
  </si>
  <si>
    <t>工业级防护</t>
  </si>
  <si>
    <t>DCDC-004</t>
  </si>
  <si>
    <t>高压DC/DC 1500V/50A</t>
  </si>
  <si>
    <t>1500V 50A, 储能高压平台, 隔离型</t>
  </si>
  <si>
    <t>大型储能/储能电站</t>
  </si>
  <si>
    <t>$300-600</t>
  </si>
  <si>
    <t>KEBE/Tycorun</t>
  </si>
  <si>
    <t>CE/IEC</t>
  </si>
  <si>
    <t>1500V高压平台专用</t>
  </si>
  <si>
    <t>DCDC-005</t>
  </si>
  <si>
    <t>通信DC/DC -48V转24V/12V</t>
  </si>
  <si>
    <t>-48V输入, 24V/12V输出, 隔离, 热插拔</t>
  </si>
  <si>
    <t>电信/安防/监控供电</t>
  </si>
  <si>
    <t>$40-120</t>
  </si>
  <si>
    <t>盛威/智果</t>
  </si>
  <si>
    <t>电信设备降压供电</t>
  </si>
  <si>
    <t>工业线束</t>
  </si>
  <si>
    <t>CABLE-001</t>
  </si>
  <si>
    <t>M12 A-coded 4P温度传感器线束</t>
  </si>
  <si>
    <t>M12 4P→NTC/DS18B20, 24AWG PUR, -40~+125°C</t>
  </si>
  <si>
    <t>储能BMS/温度监测</t>
  </si>
  <si>
    <t>$8-15</t>
  </si>
  <si>
    <t>50条</t>
  </si>
  <si>
    <t>万连科技/特普生</t>
  </si>
  <si>
    <t>IP67</t>
  </si>
  <si>
    <t>BMS电池模组温度采集</t>
  </si>
  <si>
    <t>CABLE-002</t>
  </si>
  <si>
    <t>M12 A-coded 5P电压信号线</t>
  </si>
  <si>
    <t>M12 5P→开放端, 22AWG屏蔽, 60V/4A</t>
  </si>
  <si>
    <t>储能BMS/电压采集</t>
  </si>
  <si>
    <t>$10-18</t>
  </si>
  <si>
    <t>万连科技/威康</t>
  </si>
  <si>
    <t>单体电压采集,CAN通信</t>
  </si>
  <si>
    <t>CABLE-003</t>
  </si>
  <si>
    <t>M12 A-coded 8P通信总线线束</t>
  </si>
  <si>
    <t>M12 8P→RJ45/开放端, 24AWG双屏蔽</t>
  </si>
  <si>
    <t>BMS通信/以太网</t>
  </si>
  <si>
    <t>$15-25</t>
  </si>
  <si>
    <t>TE/米思米</t>
  </si>
  <si>
    <t>Modbus/CANopen/EtherCAT</t>
  </si>
  <si>
    <t>CABLE-004</t>
  </si>
  <si>
    <t>M12混合电源信号线束</t>
  </si>
  <si>
    <t>16A电源+信号, 0.5-1.5mm² PUR</t>
  </si>
  <si>
    <t>储能柜/逆变器</t>
  </si>
  <si>
    <t>$20-35</t>
  </si>
  <si>
    <t>30条</t>
  </si>
  <si>
    <t>万连科技/FAF</t>
  </si>
  <si>
    <t>IP67/IP69K</t>
  </si>
  <si>
    <t>大电流供电与信号一体</t>
  </si>
  <si>
    <t>CABLE-005</t>
  </si>
  <si>
    <t>M12干接点信号控制线</t>
  </si>
  <si>
    <t>M12 5P→UPS监控板, 22AWG屏蔽, UL认证</t>
  </si>
  <si>
    <t>UPS监控/干接点</t>
  </si>
  <si>
    <t>米思米/立创</t>
  </si>
  <si>
    <t>IP67/UL</t>
  </si>
  <si>
    <t>旁路柜接口/告警触发</t>
  </si>
  <si>
    <t>CABLE-006</t>
  </si>
  <si>
    <t>M12环境监测扩展线(一拖三)</t>
  </si>
  <si>
    <t>M12 4P→温湿度/烟雾/水浸, 24AWG, IP68</t>
  </si>
  <si>
    <t>机房/电池房环境</t>
  </si>
  <si>
    <t>Turck/Binder</t>
  </si>
  <si>
    <t>IP68</t>
  </si>
  <si>
    <t>多点位环境监测,分支设计</t>
  </si>
  <si>
    <t>CABLE-007</t>
  </si>
  <si>
    <t>M12高压互锁线束(HVIL)</t>
  </si>
  <si>
    <t>M12 4P→高压连接器, 22AWG, 300V, UL</t>
  </si>
  <si>
    <t>储能高压安全</t>
  </si>
  <si>
    <t>$12-20</t>
  </si>
  <si>
    <t>威康/维峰</t>
  </si>
  <si>
    <t>高压安全互锁,短路保护</t>
  </si>
  <si>
    <t>CABLE-008</t>
  </si>
  <si>
    <t>M12液冷管路传感器线束</t>
  </si>
  <si>
    <t>M12 5P→流量/温度/压力, PUR, 耐冷却液</t>
  </si>
  <si>
    <t>液冷储能系统</t>
  </si>
  <si>
    <t>$18-30</t>
  </si>
  <si>
    <t>Turck/SICK</t>
  </si>
  <si>
    <t>IP69K</t>
  </si>
  <si>
    <t>耐乙二醇冷却液,高压冲洗</t>
  </si>
  <si>
    <t>CABLE-009</t>
  </si>
  <si>
    <t>M12以太网管理线(RJ45)</t>
  </si>
  <si>
    <t>M12 8P→RJ45, Cat5E, 26AWG双屏蔽</t>
  </si>
  <si>
    <t>UPS远程监控/SNMP</t>
  </si>
  <si>
    <t>TE/L-com</t>
  </si>
  <si>
    <t>SNMP/Modbus TCP通信</t>
  </si>
  <si>
    <t>CABLE-010</t>
  </si>
  <si>
    <t>M12紧急停机(EPO)线束</t>
  </si>
  <si>
    <t>M12 4P→EPO按钮, 20AWG, 300V, VW-1阻燃</t>
  </si>
  <si>
    <t>UPS安全回路</t>
  </si>
  <si>
    <t>远程紧急停机,双重绝缘</t>
  </si>
  <si>
    <t>CABLE-011</t>
  </si>
  <si>
    <t>防爆铠装M12线束</t>
  </si>
  <si>
    <t>M12→铠装防爆, 镀镍黄铜, Exd, 耐冲击</t>
  </si>
  <si>
    <t>矿山/油田/危化</t>
  </si>
  <si>
    <t>$25-60</t>
  </si>
  <si>
    <t>华荣/维峰</t>
  </si>
  <si>
    <t>ATEX/IECEx/IP68</t>
  </si>
  <si>
    <t>隔爆环境信号传输</t>
  </si>
  <si>
    <t>CABLE-012</t>
  </si>
  <si>
    <t>船用耐盐雾M12线束</t>
  </si>
  <si>
    <t>M12 PUR, 三防, 抗UV, 阻燃低烟无卤</t>
  </si>
  <si>
    <t>$18-40</t>
  </si>
  <si>
    <t>IP68/船级社</t>
  </si>
  <si>
    <t>耐盐雾防腐,抗摇摆</t>
  </si>
  <si>
    <t>温度/环境监测</t>
  </si>
  <si>
    <t>SENS-001</t>
  </si>
  <si>
    <t>NTC温度传感器(电池模组用)</t>
  </si>
  <si>
    <t>10K 1% NTC, -40~+125°C, 精度±0.5°C</t>
  </si>
  <si>
    <t>储能BMS/电池温度</t>
  </si>
  <si>
    <t>$2-5</t>
  </si>
  <si>
    <t>100个</t>
  </si>
  <si>
    <t>特普生/万连</t>
  </si>
  <si>
    <t>-</t>
  </si>
  <si>
    <t>电池模组级温度监测</t>
  </si>
  <si>
    <t>SENS-002</t>
  </si>
  <si>
    <t>DS18B20数字温度传感器</t>
  </si>
  <si>
    <t>±0.5°C精度, 1-Wire接口, -55~+125°C</t>
  </si>
  <si>
    <t>多点温度采集/冷链</t>
  </si>
  <si>
    <t>$3-6</t>
  </si>
  <si>
    <t>特普生/灿科盟</t>
  </si>
  <si>
    <t>单总线,可多节点级联</t>
  </si>
  <si>
    <t>SENS-003</t>
  </si>
  <si>
    <t>温湿度传感器SHT30</t>
  </si>
  <si>
    <t>±2%RH湿度, ±0.3°C温度, I2C输出</t>
  </si>
  <si>
    <t>机房/储能柜/农业</t>
  </si>
  <si>
    <t>$5-10</t>
  </si>
  <si>
    <t>50个</t>
  </si>
  <si>
    <t>Binder/灿科盟</t>
  </si>
  <si>
    <t>数字输出,抗干扰</t>
  </si>
  <si>
    <t>SENS-004</t>
  </si>
  <si>
    <t>烟雾传感器(光电式)</t>
  </si>
  <si>
    <t>高灵敏度, 9-35VDC, 继电器输出</t>
  </si>
  <si>
    <t>储能消防/机房安全</t>
  </si>
  <si>
    <t>UL</t>
  </si>
  <si>
    <t>储能舱消防监测</t>
  </si>
  <si>
    <t>SENS-005</t>
  </si>
  <si>
    <t>红外热成像模组(小型)</t>
  </si>
  <si>
    <t>80×64像素, -40~+300°C, UART输出</t>
  </si>
  <si>
    <t>设备过热监测/预测维护</t>
  </si>
  <si>
    <t>海康/大华</t>
  </si>
  <si>
    <t>非接触测温,可视化</t>
  </si>
  <si>
    <t>SENS-006</t>
  </si>
  <si>
    <t>水浸检测传感器</t>
  </si>
  <si>
    <t>电极式, 9-24VDC, 继电器输出</t>
  </si>
  <si>
    <t>机房/电池房防水</t>
  </si>
  <si>
    <t>灿科盟/特普生</t>
  </si>
  <si>
    <t>漏水/积水即时告警</t>
  </si>
  <si>
    <t>SENS-007</t>
  </si>
  <si>
    <t>霍尔电流传感器</t>
  </si>
  <si>
    <t>±0.5%精度, 0-100A, 4-20mA输出</t>
  </si>
  <si>
    <t>充放电电流监测</t>
  </si>
  <si>
    <t>$15-30</t>
  </si>
  <si>
    <t>30个</t>
  </si>
  <si>
    <t>SICK/Turck</t>
  </si>
  <si>
    <t>配合M12线束使用</t>
  </si>
  <si>
    <t>SENS-008</t>
  </si>
  <si>
    <t>4G远程通信网关</t>
  </si>
  <si>
    <t>4G全网通, RS485/以太网, MQTT协议</t>
  </si>
  <si>
    <t>远程监控/数据采集</t>
  </si>
  <si>
    <t>$60-120</t>
  </si>
  <si>
    <t>CE/FCC</t>
  </si>
  <si>
    <t>云平台接入,短信告警</t>
  </si>
  <si>
    <t>SENS-009</t>
  </si>
  <si>
    <t>LoRa无线网关</t>
  </si>
  <si>
    <t>470MHz, 3km传输, 低功耗</t>
  </si>
  <si>
    <t>智慧农业/分布式监测</t>
  </si>
  <si>
    <t>$40-80</t>
  </si>
  <si>
    <t>智果/盛威</t>
  </si>
  <si>
    <t>免布线,远距离传输</t>
  </si>
  <si>
    <t>SENS-010</t>
  </si>
  <si>
    <t>数据采集模块(8路AI/DI)</t>
  </si>
  <si>
    <t>8路模拟/数字输入, RS485, Modbus RTU</t>
  </si>
  <si>
    <t>工业设备监测/预测维护</t>
  </si>
  <si>
    <t>$50-100</t>
  </si>
  <si>
    <t>多传感器集中采集</t>
  </si>
  <si>
    <t>SENS-011</t>
  </si>
  <si>
    <t>可燃气体探测器(防爆)</t>
  </si>
  <si>
    <t>甲烷/氢气, 0-100%LEL, 4-20mA, Exd</t>
  </si>
  <si>
    <t>储能消防/加油站/危化</t>
  </si>
  <si>
    <t>$60-180</t>
  </si>
  <si>
    <t>汉威/炜盛</t>
  </si>
  <si>
    <t>可燃气体超限告警联动</t>
  </si>
  <si>
    <t>SENS-012</t>
  </si>
  <si>
    <t>GPS/北斗定位模块</t>
  </si>
  <si>
    <t>双模定位, 4G回传, 内置电池</t>
  </si>
  <si>
    <t>冷链/资产追踪/便携储能</t>
  </si>
  <si>
    <t>$30-70</t>
  </si>
  <si>
    <t>移远/中科微</t>
  </si>
  <si>
    <t>实时定位与轨迹</t>
  </si>
  <si>
    <t>SENS-013</t>
  </si>
  <si>
    <t>电池单体电压内阻监测模块</t>
  </si>
  <si>
    <t>单体0-5V, 内阻μΩ级, 菊花链</t>
  </si>
  <si>
    <t>UPS/铅酸/锂电监测</t>
  </si>
  <si>
    <t>落后电池预警</t>
  </si>
  <si>
    <t>SENS-014</t>
  </si>
  <si>
    <t>直流拉弧检测模块(AFCI)</t>
  </si>
  <si>
    <t>DC1000/1500V, 组串级, 拉弧切断</t>
  </si>
  <si>
    <t>光伏电站直流安全</t>
  </si>
  <si>
    <t>$50-150</t>
  </si>
  <si>
    <t>盛威/科华</t>
  </si>
  <si>
    <t>UL1699B/CE</t>
  </si>
  <si>
    <t>防直流拉弧火灾</t>
  </si>
  <si>
    <t>注：参考FOB价为深圳/广东地区量产参考价区间，随原材料与汇率波动；代表厂商仅供参考，实际以询价为准。认证要求按目的国可能不同，详见「认证与物流清单」。</t>
  </si>
  <si>
    <t>场景化产品包定价模板</t>
  </si>
  <si>
    <t>蓝色字体 = 输入项(手动填写)  |  黑色字体 = 公式自动计算（运费/清关默认10%，可改）</t>
  </si>
  <si>
    <t>示例1：小型数据中心UPS备用电源套装 (6kVA方案)</t>
  </si>
  <si>
    <t>组件名称</t>
  </si>
  <si>
    <t>数量</t>
  </si>
  <si>
    <t>供应商FOB单价</t>
  </si>
  <si>
    <t>组件FOB小计</t>
  </si>
  <si>
    <t>运费/清关(10%)</t>
  </si>
  <si>
    <t>到岸成本</t>
  </si>
  <si>
    <t>目标利润率</t>
  </si>
  <si>
    <t>建议售价</t>
  </si>
  <si>
    <t>组合包加价</t>
  </si>
  <si>
    <t>最终报价</t>
  </si>
  <si>
    <t>毛利率%</t>
  </si>
  <si>
    <t>在线式UPS 6kVA</t>
  </si>
  <si>
    <t>48V100Ah锂电模组</t>
  </si>
  <si>
    <t>M12温度监测线束</t>
  </si>
  <si>
    <t>SNMP远程管理卡</t>
  </si>
  <si>
    <t>组合包合计</t>
  </si>
  <si>
    <t>示例2：储能柜BMS温度监测套装</t>
  </si>
  <si>
    <t>M12温度传感器线束</t>
  </si>
  <si>
    <t>M12电压采集线束</t>
  </si>
  <si>
    <t>M12 BMS通信总线</t>
  </si>
  <si>
    <t>NTC温度传感器</t>
  </si>
  <si>
    <t>数据采集模块</t>
  </si>
  <si>
    <t>示例3：移动应急/抢险便携储能交付套装</t>
  </si>
  <si>
    <t>折叠光伏板/快充模块</t>
  </si>
  <si>
    <t>船用/户外M12线束</t>
  </si>
  <si>
    <t>使用说明：蓝色单元格为手动输入项（数量、FOB单价、利润率、组合包加价率），黑色单元格为自动计算公式。复制任一示例区块到下方空白行，即可搭建新产品包的定价。</t>
  </si>
  <si>
    <t>报价单  QUOTATION</t>
  </si>
  <si>
    <t>供应商 Seller:</t>
  </si>
  <si>
    <t>[贵司公司名称 Co., Ltd.]</t>
  </si>
  <si>
    <t>报价单号 Quote No.:</t>
  </si>
  <si>
    <t>Q-2026-0001</t>
  </si>
  <si>
    <t>地址 Address:</t>
  </si>
  <si>
    <t>[公司地址]</t>
  </si>
  <si>
    <t>日期 Date:</t>
  </si>
  <si>
    <t>2026-__-__</t>
  </si>
  <si>
    <t>联系人 Contact:</t>
  </si>
  <si>
    <t>[姓名 / Email / WhatsApp]</t>
  </si>
  <si>
    <t>客户 To:</t>
  </si>
  <si>
    <t>[客户公司 / 联系人]</t>
  </si>
  <si>
    <t>网址 Website:</t>
  </si>
  <si>
    <t>[www.yoursite.com]</t>
  </si>
  <si>
    <t>有效期 Validity:</t>
  </si>
  <si>
    <t>30 days 自报价日起30天</t>
  </si>
  <si>
    <t>币种 Currency:</t>
  </si>
  <si>
    <t>USD</t>
  </si>
  <si>
    <t>贸易条款 Incoterms:</t>
  </si>
  <si>
    <t>FOB Shenzhen / CIF [目的港]</t>
  </si>
  <si>
    <t>付款方式 Payment:</t>
  </si>
  <si>
    <t>30% T/T 预付, 70% 发货前付清 / L/C at sight</t>
  </si>
  <si>
    <t>No.</t>
  </si>
  <si>
    <t>产品 / SKU
Item &amp; SKU</t>
  </si>
  <si>
    <t>规格 Specification</t>
  </si>
  <si>
    <t>数量
Qty</t>
  </si>
  <si>
    <t>单位
Unit</t>
  </si>
  <si>
    <t>单价 Unit Price</t>
  </si>
  <si>
    <t>金额 Amount</t>
  </si>
  <si>
    <t>备注 Remark</t>
  </si>
  <si>
    <t>在线式UPS 6kVA / HOST-002</t>
  </si>
  <si>
    <t>6kVA 在线双变换, 380→220VAC</t>
  </si>
  <si>
    <t>pcs</t>
  </si>
  <si>
    <t/>
  </si>
  <si>
    <t>48V100Ah锂电模组 / HOST-004</t>
  </si>
  <si>
    <t>48V 100Ah LiFePO4, 机架2U</t>
  </si>
  <si>
    <t>M12温度监测线束 / CABLE-001</t>
  </si>
  <si>
    <t>M12 4P→NTC, 24AWG, IP67</t>
  </si>
  <si>
    <t>SNMP远程管理卡 / SENS-008</t>
  </si>
  <si>
    <t>4G/SNMP 远程监控</t>
  </si>
  <si>
    <t>小计 Subtotal</t>
  </si>
  <si>
    <t>运费 Freight</t>
  </si>
  <si>
    <t>折扣 Discount (-)</t>
  </si>
  <si>
    <t>合计 TOTAL</t>
  </si>
  <si>
    <t>条款与说明 Terms &amp; Conditions</t>
  </si>
  <si>
    <t>1. 交期 Lead Time: 收到预付款后 15-30 个工作日 (视数量而定)。</t>
  </si>
  <si>
    <t>2. 质保 Warranty: 主机/电池 2-5 年，线束/传感器 1 年（详见产品质保卡）。</t>
  </si>
  <si>
    <t>3. 包装 Packing: 标准出口纸箱 / 木箱托盘；电池按 UN38.3 危险品包装。</t>
  </si>
  <si>
    <t>4. 装运港 Port of Loading: Shenzhen / Guangzhou, China。</t>
  </si>
  <si>
    <t>5. 认证 Certification: 可按目的国提供 CE/UL/SASO/SONCAP 等（详见认证与物流清单）。</t>
  </si>
  <si>
    <t>6. 报价有效期 Validity: 自报价日起 30 天；超期请重新询价。</t>
  </si>
  <si>
    <t>7. 最小起订 MOQ: 按产品包 MOQ 建议，可混装拼柜。</t>
  </si>
  <si>
    <t>8. 本报价为预估，最终以正式 PI(形式发票) 为准。</t>
  </si>
  <si>
    <t>销售话术与FAQ — 每个产品包的中英定位、卖点、异议应答与竞品对比</t>
  </si>
  <si>
    <t>一句话定位(中)</t>
  </si>
  <si>
    <t>一句话定位(英)</t>
  </si>
  <si>
    <t>核心卖点话术</t>
  </si>
  <si>
    <t>常见客户异议</t>
  </si>
  <si>
    <t>异议应答话术</t>
  </si>
  <si>
    <t>竞品对比角度</t>
  </si>
  <si>
    <t>开场钩子(独立站/询盘)</t>
  </si>
  <si>
    <t>为中小机房一站式配齐高密度锂电UPS</t>
  </si>
  <si>
    <t>One-stop high-density Li-ion UPS kit for small data centers</t>
  </si>
  <si>
    <t>锂电体积比铅酸小50%，5年免维护，SNMP远程监控，机柜级即插即用。</t>
  </si>
  <si>
    <t>锂电太贵了/铅酸更便宜</t>
  </si>
  <si>
    <t>按5-8年全生命周期算，锂电免维护+寿命长，TCO比铅酸低30%；且省机房空间。</t>
  </si>
  <si>
    <t>对比传统铅酸UPS方案：更省空间、更长寿命、可远程监控</t>
  </si>
  <si>
    <t>Cut your data center downtime with a plug-and-play Li-ion UPS kit</t>
  </si>
  <si>
    <t>塔站不间断供电，耐高温防雷一体化</t>
  </si>
  <si>
    <t>All-in-one backup for telecom towers, heat &amp; lightning proof</t>
  </si>
  <si>
    <t>12V锂电直替铅酸不改架，耐40°C高温，内置防雷与远程告警。</t>
  </si>
  <si>
    <t>我们已有铅酸电池</t>
  </si>
  <si>
    <t>锂电直替无需改柜，循环寿命是铅酸的4倍，高温衰减小，偏远站点换电次数大幅减少。</t>
  </si>
  <si>
    <t>对比铅酸+普通UPS：耐温、寿命、远程运维全面占优</t>
  </si>
  <si>
    <t>Keep your towers online—drop-in Li-ion backup, no rewiring</t>
  </si>
  <si>
    <t>峰谷套利+需量管理，回本快</t>
  </si>
  <si>
    <t>C&amp;I energy storage kit for peak shaving and demand charge cuts</t>
  </si>
  <si>
    <t>白天谷电充、峰电放，叠加需量管理，典型3-5年回本，模块化可扩展。</t>
  </si>
  <si>
    <t>投资回收期太长</t>
  </si>
  <si>
    <t>结合当地峰谷价差与需量电费测算，多数项目3-5年回本，之后纯收益，并提供应急备电价值。</t>
  </si>
  <si>
    <t>对比纯柴发/无储能：省电费+备电双收益</t>
  </si>
  <si>
    <t>Slash your electricity bill with a modular C&amp;I storage kit</t>
  </si>
  <si>
    <t>光储一体，停电不断电，APP随时看</t>
  </si>
  <si>
    <t>All-in-one solar + storage home kit with app monitoring</t>
  </si>
  <si>
    <t>白天光伏发电存起来，晚上用，停电毫秒级切换，手机APP实时监控。</t>
  </si>
  <si>
    <t>安装复杂吗</t>
  </si>
  <si>
    <t>整套预配线+图文/视频安装指引，本地电工2-4小时可装，提供远程技术支持。</t>
  </si>
  <si>
    <t>对比单买逆变器+电池：兼容性有保障、配齐免烦恼</t>
  </si>
  <si>
    <t>Power your home day and night—solar + storage in one box</t>
  </si>
  <si>
    <t>边缘节点零停机，1U紧凑并机扩展</t>
  </si>
  <si>
    <t>Zero-downtime power kit for edge computing nodes</t>
  </si>
  <si>
    <t>1U/2U紧凑机架UPS+锂电，智能温控，支持并机冗余扩展。</t>
  </si>
  <si>
    <t>节点分散不好运维</t>
  </si>
  <si>
    <t>支持SNMP/以太网远程监控，多节点统一管理平台，异常自动告警。</t>
  </si>
  <si>
    <t>对比普通后备式UPS：在线双变换更纯净、可远程</t>
  </si>
  <si>
    <t>Keep edge nodes alive—compact rack UPS with remote monitoring</t>
  </si>
  <si>
    <t>削峰填谷降扩容费，应对电网容量不足</t>
  </si>
  <si>
    <t>DC distribution + storage kit to dodge grid upgrade fees</t>
  </si>
  <si>
    <t>用储能补充充电高峰功率，避免增容改造，叠加峰谷套利。</t>
  </si>
  <si>
    <t>为什么不直接扩容电网</t>
  </si>
  <si>
    <t>电网增容周期长、费用高，储能可即装即用，还能套利，综合成本更低。</t>
  </si>
  <si>
    <t>对比纯电网扩容：省增容费+套利收益</t>
  </si>
  <si>
    <t>Avoid costly grid upgrades—storage-backed EV charging</t>
  </si>
  <si>
    <t>断电持续录像，户外防雷防浪涌</t>
  </si>
  <si>
    <t>Outdoor power kit for surveillance poles, surge-protected</t>
  </si>
  <si>
    <t>小型UPS+锂电保证断电后持续录像，IP65户外防护，内置防雷。</t>
  </si>
  <si>
    <t>杆站太多成本高</t>
  </si>
  <si>
    <t>标准化套装批量采购降单价，远程电量监测减少巡检，长寿命锂电降低更换频率。</t>
  </si>
  <si>
    <t>对比无备电方案：断电不再丢失关键录像</t>
  </si>
  <si>
    <t>Never lose footage—surge-proof outdoor backup for poles</t>
  </si>
  <si>
    <t>电池模组级温度监测，过温早预警</t>
  </si>
  <si>
    <t>Module-level temperature monitoring kit for storage cabinets</t>
  </si>
  <si>
    <t>M12温度/电压线束直连BMS，模组级监测，过温/液冷异常实时告警。</t>
  </si>
  <si>
    <t>现成BMS不是有监测吗</t>
  </si>
  <si>
    <t>原厂BMS点位有限，本套装补充模组级与液冷管路监测，提升安全冗余、便于事故溯源。</t>
  </si>
  <si>
    <t>对比仅靠原厂BMS：监测点位更密、更早预警</t>
  </si>
  <si>
    <t>Spot thermal runaway early—module-level temp monitoring</t>
  </si>
  <si>
    <t>电池房多点环境监测，烟雾水浸联动</t>
  </si>
  <si>
    <t>Battery room environment monitoring with smoke &amp; water alarms</t>
  </si>
  <si>
    <t>温湿度+烟雾+水浸多点监测，干接点联动UPS，满足消防合规。</t>
  </si>
  <si>
    <t>我们有人值守</t>
  </si>
  <si>
    <t>人工巡检有盲区与延迟，7×24自动监测+即时告警，夜间/节假日风险可控。</t>
  </si>
  <si>
    <t>对比人工巡检：全天候、可追溯、自动联动</t>
  </si>
  <si>
    <t>Protect your battery room 24/7 with smart environment alarms</t>
  </si>
  <si>
    <t>提前60天预警轴承电机过热</t>
  </si>
  <si>
    <t>Predictive maintenance kit—catch failures 60 days early</t>
  </si>
  <si>
    <t>振动+温度+电流+红外多参数监测，AI趋势分析提前预警故障。</t>
  </si>
  <si>
    <t>我们坏了再修就行</t>
  </si>
  <si>
    <t>非计划停机损失远高于监测投入，预测性维护可把停机降低70%，备件与人力更可控。</t>
  </si>
  <si>
    <t>对比事后维修：减少非计划停机与连锁损失</t>
  </si>
  <si>
    <t>Predict failures before they cost you a production line</t>
  </si>
  <si>
    <t>储能舱级消防监测+高压互锁</t>
  </si>
  <si>
    <t>Battery container fire-safety monitoring with HVIL</t>
  </si>
  <si>
    <t>烟雾/温度/可燃气体+高压互锁+消防联动，覆盖热失控早期信号。</t>
  </si>
  <si>
    <t>保险/标准没强制要求</t>
  </si>
  <si>
    <t>多地储能消防标准持续收紧，提前部署降低事故与理赔风险，也是投标加分项。</t>
  </si>
  <si>
    <t>对比无消防监测：合规、可投标、降事故</t>
  </si>
  <si>
    <t>De-risk your storage site—early fire detection + HVIL</t>
  </si>
  <si>
    <t>分布式站点集中监控，4G远程告警</t>
  </si>
  <si>
    <t>Remote O&amp;M kit for distributed sites with 4G alerts</t>
  </si>
  <si>
    <t>4G/LoRa网关+云平台看板，分布式UPS/储能/光伏集中监控，异常自动告警。</t>
  </si>
  <si>
    <t>站点偏远没网络</t>
  </si>
  <si>
    <t>支持4G/LoRa多种回传，弱网断点续传，无人值守也能掌握站点状态。</t>
  </si>
  <si>
    <t>对比上门巡检：省差旅、实时、可扩展</t>
  </si>
  <si>
    <t>Manage all your remote sites from one cloud dashboard</t>
  </si>
  <si>
    <t>提前发现落后电池，延长电池寿命</t>
  </si>
  <si>
    <t>Battery monitoring &amp; reconditioning kit to extend life</t>
  </si>
  <si>
    <t>单体电压内阻在线监测+活化，提前定位落后电池，避免突发停电。</t>
  </si>
  <si>
    <t>电池还能用就不换</t>
  </si>
  <si>
    <t>落后电池会拖垮整组，在线监测精准定位、按需更换，省钱又防停电。</t>
  </si>
  <si>
    <t>对比整组更换：精准换电、降成本、防故障</t>
  </si>
  <si>
    <t>Stop surprise outages—online battery health monitoring</t>
  </si>
  <si>
    <t>微模块温湿度漏水烟雾集中告警</t>
  </si>
  <si>
    <t>Micro-module DCIM kit—temp, leak, smoke in one console</t>
  </si>
  <si>
    <t>动环主机+多类传感器，温湿度/漏水/烟雾/配电/PUE集中监控与告警。</t>
  </si>
  <si>
    <t>规模小用不上动环</t>
  </si>
  <si>
    <t>微模块同样有过热与漏水风险，标准化动环套装成本可控、可随规模扩展。</t>
  </si>
  <si>
    <t>对比无动环：可视化、可告警、可扩展</t>
  </si>
  <si>
    <t>See everything in your micro data center at a glance</t>
  </si>
  <si>
    <t>ATEX防爆，可燃气体超限自动切断</t>
  </si>
  <si>
    <t>ATEX explosion-proof gas monitoring with auto cut-off</t>
  </si>
  <si>
    <t>防爆可燃气体探测+防爆电源+声光报警联动，符合危险区域规范。</t>
  </si>
  <si>
    <t>认证够不够</t>
  </si>
  <si>
    <t>提供ATEX/IECEx防爆等级与证书，按区域(Zone)选型，满足现场安监验收。</t>
  </si>
  <si>
    <t>对比普通监测：防爆合规、可验收</t>
  </si>
  <si>
    <t>Stay compliant—ATEX gas detection for hazardous areas</t>
  </si>
  <si>
    <t>防直流拉弧火灾，组串级发电监测</t>
  </si>
  <si>
    <t>PV DC arc-fault protection + string-level monitoring</t>
  </si>
  <si>
    <t>AFCI拉弧检测+组串电流+绝缘监测，防火灾并提升发电量。</t>
  </si>
  <si>
    <t>逆变器自带保护</t>
  </si>
  <si>
    <t>组件/接头老化的拉弧风险长期存在，独立AFCI与组串监测提供额外安全与运维数据。</t>
  </si>
  <si>
    <t>对比仅靠逆变器：独立拉弧保护+发电分析</t>
  </si>
  <si>
    <t>Prevent rooftop fires—DC arc-fault detection for PV</t>
  </si>
  <si>
    <t>医疗设备零中断，48小时离网续航</t>
  </si>
  <si>
    <t>Medical-grade power kit—48h off-grid for rural clinics</t>
  </si>
  <si>
    <t>UPS+太阳能+深循环锂电，市电/光伏双输入，医疗级隔离保障设备。</t>
  </si>
  <si>
    <t>预算有限(NGO/政府)</t>
  </si>
  <si>
    <t>提供分档配置与援助项目报价，模块化可分期扩展，太阳能降低长期用电成本。</t>
  </si>
  <si>
    <t>对比柴油发电机：免油耗、低噪、可离网</t>
  </si>
  <si>
    <t>Keep clinics running—48h solar-backed medical power</t>
  </si>
  <si>
    <t>纯离网供电，光伏优先柴发自动切换</t>
  </si>
  <si>
    <t>Off-grid solar + storage with auto generator switching</t>
  </si>
  <si>
    <t>光伏阵列+储能柜+混合逆变器，光伏优先、储能备电、柴发自动补充。</t>
  </si>
  <si>
    <t>阴雨天怎么办</t>
  </si>
  <si>
    <t>系统按当地日照与负载配置储能容量，并支持柴发自动切换，确保连续供电。</t>
  </si>
  <si>
    <t>对比纯柴发：省油、低碳、低运维</t>
  </si>
  <si>
    <t>Bring power anywhere—self-sufficient off-grid solar kit</t>
  </si>
  <si>
    <t>生产线零停机，ATS无缝切换</t>
  </si>
  <si>
    <t>Factory emergency power kit with seamless ATS</t>
  </si>
  <si>
    <t>工频在线UPS+电池柜+ATS，抗工业电网波动，谐波治理保护设备。</t>
  </si>
  <si>
    <t>我们停电不频繁</t>
  </si>
  <si>
    <t>一次非计划停机的物料与订单损失，往往远超整套备电投入，关键产线值得保障。</t>
  </si>
  <si>
    <t>对比无备电：保订单、保设备、保交期</t>
  </si>
  <si>
    <t>Zero production downtime—industrial UPS with ATS</t>
  </si>
  <si>
    <t>冷链全程温度追溯，断电持续制冷</t>
  </si>
  <si>
    <t>Cold-chain temp tracking + backup, never break the chain</t>
  </si>
  <si>
    <t>便携UPS+锂电+温湿度+GPS+4G，全程温度追溯与合规报告。</t>
  </si>
  <si>
    <t>纸质记录够用了</t>
  </si>
  <si>
    <t>纸质记录易造假、难追溯，自动温控+云报告满足医药/食品合规与客户审计。</t>
  </si>
  <si>
    <t>对比人工记录：自动、可追溯、防纠纷</t>
  </si>
  <si>
    <t>Keep your cold chain unbroken—live temp &amp; GPS tracking</t>
  </si>
  <si>
    <t>灌溉离网供电+土壤气象监测，节水节电</t>
  </si>
  <si>
    <t>Off-grid power + soil/weather sensing for smart irrigation</t>
  </si>
  <si>
    <t>太阳能供电+土壤墒情+气象监测+LoRa回传，按需灌溉省水省电。</t>
  </si>
  <si>
    <t>农场没人懂技术</t>
  </si>
  <si>
    <t>免布线LoRa即装即用，手机端简单查看，提供本地化培训与远程支持。</t>
  </si>
  <si>
    <t>对比经验灌溉：数据驱动、省水省电</t>
  </si>
  <si>
    <t>Grow smarter—solar-powered soil &amp; weather monitoring</t>
  </si>
  <si>
    <t>电信级-48V直流供电，N+1冗余</t>
  </si>
  <si>
    <t>Carrier-grade -48V DC power system with N+1 redundancy</t>
  </si>
  <si>
    <t>整流模块N+1冗余+锂电后备+DC配电+网管监控，电信级可靠性。</t>
  </si>
  <si>
    <t>现有铅酸后备还能用</t>
  </si>
  <si>
    <t>锂电后备体积小寿命长，配整流冗余与网管监控，提升机房可用性、降低维护。</t>
  </si>
  <si>
    <t>对比铅酸后备：省空间、长寿命、可网管</t>
  </si>
  <si>
    <t>Carrier-grade -48V power—redundant rectifiers + Li-ion</t>
  </si>
  <si>
    <t>医疗IT隔离供电，绝缘故障定位</t>
  </si>
  <si>
    <t>Medical IT isolated power for OR/ICU with insulation monitoring</t>
  </si>
  <si>
    <t>IT隔离电源+绝缘监测+在线UPS，符合IEC60364-7-710医疗场所规范。</t>
  </si>
  <si>
    <t>普通UPS不行吗</t>
  </si>
  <si>
    <t>手术室需医疗IT隔离与绝缘监测以防漏电危及患者，普通UPS不满足规范。</t>
  </si>
  <si>
    <t>对比普通UPS：符合医疗规范、患者安全</t>
  </si>
  <si>
    <t>Patient-safe power—medical IT isolation for operating rooms</t>
  </si>
  <si>
    <t>ATEX/IECEx防爆，矿用隔爆外壳</t>
  </si>
  <si>
    <t>ATEX/IECEx explosion-proof power for mines &amp; oilfields</t>
  </si>
  <si>
    <t>防爆UPS+防爆锂电+防爆线束+本安回路，适应高粉尘高湿环境。</t>
  </si>
  <si>
    <t>防爆产品交期长</t>
  </si>
  <si>
    <t>提供常备防爆机型与项目排产，附完整防爆证书，支持现场安监验收。</t>
  </si>
  <si>
    <t>对比普通电源:可进危险区域、合规验收</t>
  </si>
  <si>
    <t>Explosion-proof power built for mines and oilfields</t>
  </si>
  <si>
    <t>船级社认证，耐盐雾抗摇摆</t>
  </si>
  <si>
    <t>Marine-certified power, salt-fog &amp; vibration resistant</t>
  </si>
  <si>
    <t>船用UPS+船用锂电+耐盐雾线束+振动监测，满足CCS/DNV要求。</t>
  </si>
  <si>
    <t>陆用产品改改能用吗</t>
  </si>
  <si>
    <t>海上环境盐雾/摇摆/振动严苛，需船级社认证产品，陆用件难通过验船。</t>
  </si>
  <si>
    <t>对比陆用改装:船级社认证、长期可靠</t>
  </si>
  <si>
    <t>Built for the sea—marine-certified, salt-fog proof power</t>
  </si>
  <si>
    <t>网点零中断营业，多网点集中管理</t>
  </si>
  <si>
    <t>Bank/ATM backup kit with multi-site central management</t>
  </si>
  <si>
    <t>在线UPS+锂电后备+ATS+远程批量管理，保障营业与ATM连续运行。</t>
  </si>
  <si>
    <t>网点多管理麻烦</t>
  </si>
  <si>
    <t>提供多网点集中管理软件，统一监控与维保提醒，IT/后勤一屏掌控。</t>
  </si>
  <si>
    <t>对比单点UPS:集中管理、批量维保</t>
  </si>
  <si>
    <t>Keep every branch online—centrally managed ATM backup</t>
  </si>
  <si>
    <t>即取即用应急供电，太阳能补电</t>
  </si>
  <si>
    <t>Portable storage for emergency response, solar rechargeable</t>
  </si>
  <si>
    <t>1-5kWh便携储能+折叠光伏+多口输出+GPS，抢险户外即取即用。</t>
  </si>
  <si>
    <t>和普通电源车比呢</t>
  </si>
  <si>
    <t>便携储能轻便无噪音无尾气，可单兵携带、太阳能补电，灵活补充电源车覆盖盲区。</t>
  </si>
  <si>
    <t>对比柴油电源车:便携、静音、零排放</t>
  </si>
  <si>
    <t>Power anywhere in a crisis—portable, solar-ready storage</t>
  </si>
  <si>
    <t>注：英文一句话定位可直接用于独立站/阿里标题与首段；异议应答话术为通用框架，实际沟通请结合客户具体场景与当地价格调整。</t>
  </si>
  <si>
    <t>一、各市场认证要求</t>
  </si>
  <si>
    <t>目标市场/国家</t>
  </si>
  <si>
    <t>强制认证</t>
  </si>
  <si>
    <t>常见自愿/加分认证</t>
  </si>
  <si>
    <t>电池/储能专项</t>
  </si>
  <si>
    <t>合规备注</t>
  </si>
  <si>
    <t>欧盟(EU)</t>
  </si>
  <si>
    <t>CE(LVD/EMC/RED) + RoHS + WEEE</t>
  </si>
  <si>
    <t>TÜV/VDE, EN62040(UPS), IEC62619(储能)</t>
  </si>
  <si>
    <t>UN38.3运输 + 电池法规(EU)2023/1542 + CE</t>
  </si>
  <si>
    <t>RED适用含无线模块产品;储能需EN/IEC62619</t>
  </si>
  <si>
    <t>英国(UK)</t>
  </si>
  <si>
    <t>UKCA + RoHS + WEEE</t>
  </si>
  <si>
    <t>BS EN标准, ENA G98/G99(并网)</t>
  </si>
  <si>
    <t>UN38.3 + UKCA</t>
  </si>
  <si>
    <t>脱欧后UKCA与CE并行,部分仍认可CE</t>
  </si>
  <si>
    <t>北美(美/加)</t>
  </si>
  <si>
    <t>UL/cUL + FCC(EMC)</t>
  </si>
  <si>
    <t>ETL, NRTL认证, UL1973/UL9540(储能)</t>
  </si>
  <si>
    <t>UN38.3 + UL1642/UL2054(电芯) + DOT</t>
  </si>
  <si>
    <t>美国UL强制性强;并网需UL1741-SA/SB</t>
  </si>
  <si>
    <t>海湾GCC(沙特除外)</t>
  </si>
  <si>
    <t>G-Mark(海湾标志)</t>
  </si>
  <si>
    <t>IECEE CB, IEC标准</t>
  </si>
  <si>
    <t>UN38.3 + G-Mark</t>
  </si>
  <si>
    <t>覆盖阿联酋/科威特/卡塔尔等;部分品类强制</t>
  </si>
  <si>
    <t>沙特(KSA)</t>
  </si>
  <si>
    <t>SASO(SABER平台) + IECEE</t>
  </si>
  <si>
    <t>SASO能效, G-Mark</t>
  </si>
  <si>
    <t>UN38.3 + SASO + 装运前COC/PCoC</t>
  </si>
  <si>
    <t>需在SABER平台注册并取得COC方可清关</t>
  </si>
  <si>
    <t>尼日利亚</t>
  </si>
  <si>
    <t>SONCAP(装运前COC)</t>
  </si>
  <si>
    <t>IECEE CB, NESREA</t>
  </si>
  <si>
    <t>UN38.3 + SONCAP</t>
  </si>
  <si>
    <t>需PC(产品证书)+SONCAP证,装运前检验</t>
  </si>
  <si>
    <t>肯尼亚/东非</t>
  </si>
  <si>
    <t>PVoC(装运前一致性验证)</t>
  </si>
  <si>
    <t>KEBS标准, IECEE CB</t>
  </si>
  <si>
    <t>UN38.3 + PVoC CoC</t>
  </si>
  <si>
    <t>KEBS指定机构装运前检验出具CoC</t>
  </si>
  <si>
    <t>东南亚(印尼/泰/越/菲)</t>
  </si>
  <si>
    <t>印尼SNI/SDPPI, 泰国TISI, 越南MIC/QCVN</t>
  </si>
  <si>
    <t>IECEE CB, 当地能效标签</t>
  </si>
  <si>
    <t>UN38.3 + 当地认证</t>
  </si>
  <si>
    <t>各国差异大;无线模块需当地型号核准</t>
  </si>
  <si>
    <t>巴西/南美</t>
  </si>
  <si>
    <t>INMETRO + ANATEL(无线)</t>
  </si>
  <si>
    <t>IECEE CB</t>
  </si>
  <si>
    <t>UN38.3 + INMETRO</t>
  </si>
  <si>
    <t>ANATEL适用含无线产品;清关较严</t>
  </si>
  <si>
    <t>澳大利亚/新西兰</t>
  </si>
  <si>
    <t>RCM(SAA+ACMA)</t>
  </si>
  <si>
    <t>AS/NZS标准, CEC(储能上架)</t>
  </si>
  <si>
    <t>UN38.3 + AS/NZS5139(储能)</t>
  </si>
  <si>
    <t>并网/上架储能需CEC批准产品名录</t>
  </si>
  <si>
    <t>中国/通用出口</t>
  </si>
  <si>
    <t>CCC(国内) / 出口按目的国</t>
  </si>
  <si>
    <t>ISO9001, IECEE CB(通用敲门砖)</t>
  </si>
  <si>
    <t>UN38.3 + MSDS + 海运/空运鉴定书</t>
  </si>
  <si>
    <t>CB证书可便捷转各国认证,降成本</t>
  </si>
  <si>
    <t>二、HS编码与物流/危险品参考参数</t>
  </si>
  <si>
    <t>产品类别</t>
  </si>
  <si>
    <t>参考HS编码</t>
  </si>
  <si>
    <t>典型毛重/单位</t>
  </si>
  <si>
    <t>体积/箱规参考</t>
  </si>
  <si>
    <t>40HQ装载估算</t>
  </si>
  <si>
    <t>运输方式建议</t>
  </si>
  <si>
    <t>危险品/电池要求</t>
  </si>
  <si>
    <t>UPS主机(1-3kVA)</t>
  </si>
  <si>
    <t>8504.40</t>
  </si>
  <si>
    <t>12-25kg/台</t>
  </si>
  <si>
    <t>0.05-0.1m³/台</t>
  </si>
  <si>
    <t>约300-500台</t>
  </si>
  <si>
    <t>海运拼箱/整柜</t>
  </si>
  <si>
    <t>含电池按9类危险品</t>
  </si>
  <si>
    <t>UPS主机(10-30kVA)</t>
  </si>
  <si>
    <t>80-200kg/台</t>
  </si>
  <si>
    <t>0.3-0.6m³/台</t>
  </si>
  <si>
    <t>约50-120台</t>
  </si>
  <si>
    <t>海运整柜</t>
  </si>
  <si>
    <t>主机本体非危;配电池另算</t>
  </si>
  <si>
    <t>锂电模组/储能电池</t>
  </si>
  <si>
    <t>8507.60</t>
  </si>
  <si>
    <t>30-60kg/件</t>
  </si>
  <si>
    <t>0.04-0.08m³/件</t>
  </si>
  <si>
    <t>约400-700件</t>
  </si>
  <si>
    <t>海运为主(空运受限)</t>
  </si>
  <si>
    <t>UN38.3+MSDS+海运鉴定书,9类UN3480/3481</t>
  </si>
  <si>
    <t>便携式移动储能</t>
  </si>
  <si>
    <t>8507.60 / 8504.40</t>
  </si>
  <si>
    <t>8-30kg/台</t>
  </si>
  <si>
    <t>0.03-0.1m³/台</t>
  </si>
  <si>
    <t>约300-700台</t>
  </si>
  <si>
    <t>海运;小批量可空运(需危包)</t>
  </si>
  <si>
    <t>UN38.3+空运需危险品包装(PI965-967)</t>
  </si>
  <si>
    <t>DC/DC模块/逆变器</t>
  </si>
  <si>
    <t>2-15kg/台</t>
  </si>
  <si>
    <t>0.005-0.05m³/台</t>
  </si>
  <si>
    <t>约2000-8000台</t>
  </si>
  <si>
    <t>一般非危险品</t>
  </si>
  <si>
    <t>工业线束(M12)</t>
  </si>
  <si>
    <t>8544.42</t>
  </si>
  <si>
    <t>0.1-0.5kg/条</t>
  </si>
  <si>
    <t>极小,按箱计</t>
  </si>
  <si>
    <t>数万条/柜</t>
  </si>
  <si>
    <t>海运拼箱/快递</t>
  </si>
  <si>
    <t>非危险品,注意防潮</t>
  </si>
  <si>
    <t>传感器/网关/监测模块</t>
  </si>
  <si>
    <t>9025/9026/8517</t>
  </si>
  <si>
    <t>0.05-1kg/个</t>
  </si>
  <si>
    <t>数万个/柜</t>
  </si>
  <si>
    <t>海运/空运/快递</t>
  </si>
  <si>
    <t>含无线模块注意目的国型号核准</t>
  </si>
  <si>
    <t>工商业储能柜(100kWh)</t>
  </si>
  <si>
    <t>800-1200kg/套</t>
  </si>
  <si>
    <t>1.8-2.5m³/套</t>
  </si>
  <si>
    <t>约10-14套</t>
  </si>
  <si>
    <t>海运整柜(框架/卡板)</t>
  </si>
  <si>
    <t>UN38.3+海运鉴定+IMDG申报,重货</t>
  </si>
  <si>
    <t>注：HS编码、装柜量、毛重体积均为参考值，实际以产品规格书与货代核定为准；锂电池为9类危险品，出口需UN38.3测试报告、MSDS及海运/空运鉴定书。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</si>
</sst>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9">
    <font>
      <sz val="11"/>
      <color theme="1"/>
      <name val="宋体"/>
      <charset val="134"/>
      <scheme val="minor"/>
    </font>
    <font>
      <b/>
      <sz val="14"/>
      <color rgb="FFFFFFFF"/>
      <name val="微软雅黑"/>
      <charset val="134"/>
    </font>
    <font>
      <b/>
      <sz val="10"/>
      <color rgb="FFFFFFFF"/>
      <name val="微软雅黑"/>
      <charset val="134"/>
    </font>
    <font>
      <b/>
      <sz val="10"/>
      <color rgb="FF262626"/>
      <name val="微软雅黑"/>
      <charset val="134"/>
    </font>
    <font>
      <sz val="10"/>
      <color rgb="FF262626"/>
      <name val="微软雅黑"/>
      <charset val="134"/>
    </font>
    <font>
      <i/>
      <sz val="9"/>
      <color rgb="FF808080"/>
      <name val="微软雅黑"/>
      <charset val="134"/>
    </font>
    <font>
      <b/>
      <sz val="18"/>
      <color rgb="FFFFFFFF"/>
      <name val="微软雅黑"/>
      <charset val="134"/>
    </font>
    <font>
      <sz val="10"/>
      <color rgb="FF0070C0"/>
      <name val="微软雅黑"/>
      <charset val="134"/>
    </font>
    <font>
      <b/>
      <sz val="12"/>
      <color rgb="FF1F3864"/>
      <name val="微软雅黑"/>
      <charset val="134"/>
    </font>
    <font>
      <sz val="11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E549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11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</cellStyleXfs>
  <cellXfs count="47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center" vertical="center"/>
    </xf>
    <xf numFmtId="0" fontId="3" fillId="0" borderId="0" xfId="0" applyFont="1"/>
    <xf numFmtId="0" fontId="7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" fontId="7" fillId="0" borderId="1" xfId="0" applyNumberFormat="1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4" fontId="0" fillId="0" borderId="1" xfId="0" applyNumberFormat="1" applyBorder="1"/>
    <xf numFmtId="0" fontId="3" fillId="0" borderId="1" xfId="0" applyFont="1" applyBorder="1" applyAlignment="1">
      <alignment horizontal="right" vertical="center"/>
    </xf>
    <xf numFmtId="4" fontId="3" fillId="0" borderId="1" xfId="0" applyNumberFormat="1" applyFont="1" applyBorder="1"/>
    <xf numFmtId="0" fontId="4" fillId="0" borderId="1" xfId="0" applyFont="1" applyBorder="1" applyAlignment="1">
      <alignment horizontal="right" vertical="center"/>
    </xf>
    <xf numFmtId="4" fontId="7" fillId="0" borderId="1" xfId="0" applyNumberFormat="1" applyFont="1" applyBorder="1"/>
    <xf numFmtId="4" fontId="3" fillId="3" borderId="1" xfId="0" applyNumberFormat="1" applyFont="1" applyFill="1" applyBorder="1"/>
    <xf numFmtId="0" fontId="8" fillId="0" borderId="0" xfId="0" applyFont="1"/>
    <xf numFmtId="0" fontId="4" fillId="0" borderId="0" xfId="0" applyFont="1" applyAlignment="1">
      <alignment horizontal="left" vertical="center" wrapText="1"/>
    </xf>
    <xf numFmtId="0" fontId="8" fillId="3" borderId="0" xfId="0" applyFont="1" applyFill="1"/>
    <xf numFmtId="0" fontId="0" fillId="3" borderId="0" xfId="0" applyFill="1"/>
    <xf numFmtId="0" fontId="2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4" fontId="3" fillId="4" borderId="1" xfId="0" applyNumberFormat="1" applyFont="1" applyFill="1" applyBorder="1" applyAlignment="1">
      <alignment horizontal="center" vertical="center" wrapText="1"/>
    </xf>
    <xf numFmtId="9" fontId="7" fillId="0" borderId="1" xfId="0" applyNumberFormat="1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176" fontId="3" fillId="4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left" vertical="top" wrapText="1"/>
    </xf>
    <xf numFmtId="0" fontId="6" fillId="2" borderId="0" xfId="0" applyFont="1" applyFill="1" applyAlignment="1">
      <alignment horizontal="left" vertical="center"/>
    </xf>
    <xf numFmtId="0" fontId="9" fillId="5" borderId="0" xfId="0" applyFont="1" applyFill="1" applyAlignment="1">
      <alignment horizontal="left" vertical="center"/>
    </xf>
    <xf numFmtId="0" fontId="0" fillId="5" borderId="0" xfId="0" applyFill="1"/>
    <xf numFmtId="0" fontId="4" fillId="0" borderId="0" xfId="0" applyFont="1"/>
    <xf numFmtId="0" fontId="3" fillId="3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3" fillId="8" borderId="1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27"/>
  <sheetViews>
    <sheetView showGridLines="0" workbookViewId="0">
      <selection activeCell="D20" sqref="D20"/>
    </sheetView>
  </sheetViews>
  <sheetFormatPr defaultColWidth="9" defaultRowHeight="13.5" outlineLevelCol="4"/>
  <cols>
    <col min="1" max="1" width="3" customWidth="1"/>
    <col min="2" max="2" width="26" customWidth="1"/>
    <col min="3" max="3" width="3" customWidth="1"/>
    <col min="4" max="4" width="60" customWidth="1"/>
    <col min="5" max="5" width="3" customWidth="1"/>
  </cols>
  <sheetData>
    <row r="2" ht="30" customHeight="1" spans="2:5">
      <c r="B2" s="39" t="s">
        <v>0</v>
      </c>
      <c r="C2" s="2"/>
      <c r="D2" s="2"/>
      <c r="E2" s="2"/>
    </row>
    <row r="3" ht="12" customHeight="1" spans="2:5">
      <c r="B3" s="2"/>
      <c r="C3" s="2"/>
      <c r="D3" s="2"/>
      <c r="E3" s="2"/>
    </row>
    <row r="4" ht="22" customHeight="1" spans="2:5">
      <c r="B4" s="40" t="s">
        <v>1</v>
      </c>
      <c r="C4" s="41"/>
      <c r="D4" s="41"/>
      <c r="E4" s="41"/>
    </row>
    <row r="6" ht="18" spans="2:2">
      <c r="B6" s="24" t="s">
        <v>2</v>
      </c>
    </row>
    <row r="8" ht="16.5" spans="2:2">
      <c r="B8" s="42" t="s">
        <v>3</v>
      </c>
    </row>
    <row r="9" ht="16.5" spans="2:2">
      <c r="B9" s="42" t="s">
        <v>4</v>
      </c>
    </row>
    <row r="10" ht="16.5" spans="2:2">
      <c r="B10" s="42" t="s">
        <v>5</v>
      </c>
    </row>
    <row r="11" ht="16.5" spans="2:2">
      <c r="B11" s="42" t="s">
        <v>6</v>
      </c>
    </row>
    <row r="12" ht="16.5" spans="2:2">
      <c r="B12" s="42" t="s">
        <v>7</v>
      </c>
    </row>
    <row r="14" ht="18" spans="2:2">
      <c r="B14" s="24" t="s">
        <v>8</v>
      </c>
    </row>
    <row r="16" ht="16.5" spans="2:4">
      <c r="B16" s="43" t="s">
        <v>9</v>
      </c>
      <c r="D16" s="29" t="s">
        <v>10</v>
      </c>
    </row>
    <row r="17" ht="16.5" spans="2:4">
      <c r="B17" s="43" t="s">
        <v>11</v>
      </c>
      <c r="D17" s="29" t="s">
        <v>12</v>
      </c>
    </row>
    <row r="18" ht="16.5" spans="2:4">
      <c r="B18" s="43" t="s">
        <v>13</v>
      </c>
      <c r="D18" s="29" t="s">
        <v>14</v>
      </c>
    </row>
    <row r="19" ht="16.5" spans="2:4">
      <c r="B19" s="43" t="s">
        <v>15</v>
      </c>
      <c r="D19" s="29" t="s">
        <v>16</v>
      </c>
    </row>
    <row r="20" ht="16.5" spans="2:4">
      <c r="B20" s="43" t="s">
        <v>17</v>
      </c>
      <c r="D20" s="29" t="s">
        <v>18</v>
      </c>
    </row>
    <row r="21" ht="16.5" spans="2:4">
      <c r="B21" s="43" t="s">
        <v>19</v>
      </c>
      <c r="D21" s="29" t="s">
        <v>20</v>
      </c>
    </row>
    <row r="22" ht="16.5" spans="2:4">
      <c r="B22" s="43" t="s">
        <v>21</v>
      </c>
      <c r="D22" s="29" t="s">
        <v>22</v>
      </c>
    </row>
    <row r="24" ht="18" spans="2:2">
      <c r="B24" s="24" t="s">
        <v>23</v>
      </c>
    </row>
    <row r="25" ht="16.5" spans="2:4">
      <c r="B25" s="44" t="s">
        <v>24</v>
      </c>
      <c r="D25" s="29" t="s">
        <v>25</v>
      </c>
    </row>
    <row r="26" ht="16.5" spans="2:4">
      <c r="B26" s="45" t="s">
        <v>26</v>
      </c>
      <c r="D26" s="29" t="s">
        <v>27</v>
      </c>
    </row>
    <row r="27" ht="16.5" spans="2:4">
      <c r="B27" s="46" t="s">
        <v>28</v>
      </c>
      <c r="D27" s="29" t="s">
        <v>29</v>
      </c>
    </row>
  </sheetData>
  <mergeCells count="9">
    <mergeCell ref="B2:D2"/>
    <mergeCell ref="B4:E4"/>
    <mergeCell ref="B6:D6"/>
    <mergeCell ref="B8:D8"/>
    <mergeCell ref="B9:D9"/>
    <mergeCell ref="B10:D10"/>
    <mergeCell ref="B11:D11"/>
    <mergeCell ref="B12:D12"/>
    <mergeCell ref="B2:E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"/>
  <sheetViews>
    <sheetView showGridLines="0" tabSelected="1" workbookViewId="0">
      <pane ySplit="1" topLeftCell="A14" activePane="bottomLeft" state="frozen"/>
      <selection/>
      <selection pane="bottomLeft" activeCell="H21" sqref="H21"/>
    </sheetView>
  </sheetViews>
  <sheetFormatPr defaultColWidth="9" defaultRowHeight="13.5"/>
  <cols>
    <col min="1" max="1" width="14" customWidth="1"/>
    <col min="2" max="2" width="26" customWidth="1"/>
    <col min="3" max="3" width="24" customWidth="1"/>
    <col min="4" max="4" width="30" customWidth="1"/>
    <col min="5" max="5" width="11" customWidth="1"/>
    <col min="6" max="6" width="46" customWidth="1"/>
    <col min="7" max="7" width="40" customWidth="1"/>
    <col min="8" max="8" width="16" customWidth="1"/>
    <col min="9" max="9" width="18" customWidth="1"/>
    <col min="10" max="10" width="10" customWidth="1"/>
  </cols>
  <sheetData>
    <row r="1" ht="28" customHeight="1" spans="1:10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  <c r="H1" s="3" t="s">
        <v>37</v>
      </c>
      <c r="I1" s="3" t="s">
        <v>38</v>
      </c>
      <c r="J1" s="3" t="s">
        <v>39</v>
      </c>
    </row>
    <row r="2" ht="33" spans="1:10">
      <c r="A2" s="36" t="s">
        <v>24</v>
      </c>
      <c r="B2" s="5" t="s">
        <v>40</v>
      </c>
      <c r="C2" s="5" t="s">
        <v>41</v>
      </c>
      <c r="D2" s="5" t="s">
        <v>42</v>
      </c>
      <c r="E2" s="5" t="s">
        <v>43</v>
      </c>
      <c r="F2" s="5" t="s">
        <v>44</v>
      </c>
      <c r="G2" s="5" t="s">
        <v>45</v>
      </c>
      <c r="H2" s="5" t="s">
        <v>46</v>
      </c>
      <c r="I2" s="5" t="s">
        <v>47</v>
      </c>
      <c r="J2" s="5" t="s">
        <v>48</v>
      </c>
    </row>
    <row r="3" ht="33" spans="1:10">
      <c r="A3" s="36" t="s">
        <v>24</v>
      </c>
      <c r="B3" s="5" t="s">
        <v>49</v>
      </c>
      <c r="C3" s="5" t="s">
        <v>50</v>
      </c>
      <c r="D3" s="5" t="s">
        <v>51</v>
      </c>
      <c r="E3" s="5" t="s">
        <v>52</v>
      </c>
      <c r="F3" s="5" t="s">
        <v>53</v>
      </c>
      <c r="G3" s="5" t="s">
        <v>54</v>
      </c>
      <c r="H3" s="5" t="s">
        <v>55</v>
      </c>
      <c r="I3" s="5" t="s">
        <v>56</v>
      </c>
      <c r="J3" s="5" t="s">
        <v>57</v>
      </c>
    </row>
    <row r="4" ht="33" spans="1:10">
      <c r="A4" s="36" t="s">
        <v>24</v>
      </c>
      <c r="B4" s="5" t="s">
        <v>58</v>
      </c>
      <c r="C4" s="5" t="s">
        <v>59</v>
      </c>
      <c r="D4" s="5" t="s">
        <v>60</v>
      </c>
      <c r="E4" s="5" t="s">
        <v>61</v>
      </c>
      <c r="F4" s="5" t="s">
        <v>62</v>
      </c>
      <c r="G4" s="5" t="s">
        <v>63</v>
      </c>
      <c r="H4" s="5" t="s">
        <v>64</v>
      </c>
      <c r="I4" s="5" t="s">
        <v>65</v>
      </c>
      <c r="J4" s="5" t="s">
        <v>48</v>
      </c>
    </row>
    <row r="5" ht="33" spans="1:10">
      <c r="A5" s="36" t="s">
        <v>24</v>
      </c>
      <c r="B5" s="5" t="s">
        <v>66</v>
      </c>
      <c r="C5" s="5" t="s">
        <v>67</v>
      </c>
      <c r="D5" s="5" t="s">
        <v>68</v>
      </c>
      <c r="E5" s="5" t="s">
        <v>69</v>
      </c>
      <c r="F5" s="5" t="s">
        <v>70</v>
      </c>
      <c r="G5" s="5" t="s">
        <v>71</v>
      </c>
      <c r="H5" s="5" t="s">
        <v>72</v>
      </c>
      <c r="I5" s="5" t="s">
        <v>73</v>
      </c>
      <c r="J5" s="5" t="s">
        <v>48</v>
      </c>
    </row>
    <row r="6" ht="33" spans="1:10">
      <c r="A6" s="36" t="s">
        <v>24</v>
      </c>
      <c r="B6" s="5" t="s">
        <v>74</v>
      </c>
      <c r="C6" s="5" t="s">
        <v>75</v>
      </c>
      <c r="D6" s="5" t="s">
        <v>76</v>
      </c>
      <c r="E6" s="5" t="s">
        <v>77</v>
      </c>
      <c r="F6" s="5" t="s">
        <v>78</v>
      </c>
      <c r="G6" s="5" t="s">
        <v>79</v>
      </c>
      <c r="H6" s="5" t="s">
        <v>80</v>
      </c>
      <c r="I6" s="5" t="s">
        <v>81</v>
      </c>
      <c r="J6" s="5" t="s">
        <v>82</v>
      </c>
    </row>
    <row r="7" ht="33" spans="1:10">
      <c r="A7" s="36" t="s">
        <v>24</v>
      </c>
      <c r="B7" s="5" t="s">
        <v>83</v>
      </c>
      <c r="C7" s="5" t="s">
        <v>84</v>
      </c>
      <c r="D7" s="5" t="s">
        <v>85</v>
      </c>
      <c r="E7" s="5" t="s">
        <v>77</v>
      </c>
      <c r="F7" s="5" t="s">
        <v>86</v>
      </c>
      <c r="G7" s="5" t="s">
        <v>87</v>
      </c>
      <c r="H7" s="5" t="s">
        <v>88</v>
      </c>
      <c r="I7" s="5" t="s">
        <v>89</v>
      </c>
      <c r="J7" s="5" t="s">
        <v>48</v>
      </c>
    </row>
    <row r="8" ht="33" spans="1:10">
      <c r="A8" s="36" t="s">
        <v>24</v>
      </c>
      <c r="B8" s="5" t="s">
        <v>90</v>
      </c>
      <c r="C8" s="5" t="s">
        <v>91</v>
      </c>
      <c r="D8" s="5" t="s">
        <v>92</v>
      </c>
      <c r="E8" s="5" t="s">
        <v>69</v>
      </c>
      <c r="F8" s="5" t="s">
        <v>93</v>
      </c>
      <c r="G8" s="5" t="s">
        <v>94</v>
      </c>
      <c r="H8" s="5" t="s">
        <v>95</v>
      </c>
      <c r="I8" s="5" t="s">
        <v>96</v>
      </c>
      <c r="J8" s="5" t="s">
        <v>97</v>
      </c>
    </row>
    <row r="9" ht="33" spans="1:10">
      <c r="A9" s="37" t="s">
        <v>26</v>
      </c>
      <c r="B9" s="5" t="s">
        <v>98</v>
      </c>
      <c r="C9" s="5" t="s">
        <v>99</v>
      </c>
      <c r="D9" s="5" t="s">
        <v>100</v>
      </c>
      <c r="E9" s="5" t="s">
        <v>69</v>
      </c>
      <c r="F9" s="5" t="s">
        <v>101</v>
      </c>
      <c r="G9" s="5" t="s">
        <v>102</v>
      </c>
      <c r="H9" s="5" t="s">
        <v>103</v>
      </c>
      <c r="I9" s="5" t="s">
        <v>73</v>
      </c>
      <c r="J9" s="5" t="s">
        <v>97</v>
      </c>
    </row>
    <row r="10" ht="33" spans="1:10">
      <c r="A10" s="37" t="s">
        <v>26</v>
      </c>
      <c r="B10" s="5" t="s">
        <v>104</v>
      </c>
      <c r="C10" s="5" t="s">
        <v>105</v>
      </c>
      <c r="D10" s="5" t="s">
        <v>106</v>
      </c>
      <c r="E10" s="5" t="s">
        <v>52</v>
      </c>
      <c r="F10" s="5" t="s">
        <v>107</v>
      </c>
      <c r="G10" s="5" t="s">
        <v>108</v>
      </c>
      <c r="H10" s="5" t="s">
        <v>109</v>
      </c>
      <c r="I10" s="5" t="s">
        <v>110</v>
      </c>
      <c r="J10" s="5" t="s">
        <v>57</v>
      </c>
    </row>
    <row r="11" ht="33" spans="1:10">
      <c r="A11" s="37" t="s">
        <v>26</v>
      </c>
      <c r="B11" s="5" t="s">
        <v>111</v>
      </c>
      <c r="C11" s="5" t="s">
        <v>112</v>
      </c>
      <c r="D11" s="5" t="s">
        <v>113</v>
      </c>
      <c r="E11" s="5" t="s">
        <v>114</v>
      </c>
      <c r="F11" s="5" t="s">
        <v>115</v>
      </c>
      <c r="G11" s="5" t="s">
        <v>116</v>
      </c>
      <c r="H11" s="5" t="s">
        <v>117</v>
      </c>
      <c r="I11" s="5" t="s">
        <v>65</v>
      </c>
      <c r="J11" s="5" t="s">
        <v>57</v>
      </c>
    </row>
    <row r="12" ht="33" spans="1:10">
      <c r="A12" s="37" t="s">
        <v>26</v>
      </c>
      <c r="B12" s="5" t="s">
        <v>118</v>
      </c>
      <c r="C12" s="5" t="s">
        <v>119</v>
      </c>
      <c r="D12" s="5" t="s">
        <v>120</v>
      </c>
      <c r="E12" s="5" t="s">
        <v>43</v>
      </c>
      <c r="F12" s="5" t="s">
        <v>121</v>
      </c>
      <c r="G12" s="5" t="s">
        <v>122</v>
      </c>
      <c r="H12" s="5" t="s">
        <v>123</v>
      </c>
      <c r="I12" s="5" t="s">
        <v>73</v>
      </c>
      <c r="J12" s="5" t="s">
        <v>57</v>
      </c>
    </row>
    <row r="13" ht="33" spans="1:10">
      <c r="A13" s="37" t="s">
        <v>26</v>
      </c>
      <c r="B13" s="5" t="s">
        <v>124</v>
      </c>
      <c r="C13" s="5" t="s">
        <v>125</v>
      </c>
      <c r="D13" s="5" t="s">
        <v>126</v>
      </c>
      <c r="E13" s="5" t="s">
        <v>52</v>
      </c>
      <c r="F13" s="5" t="s">
        <v>127</v>
      </c>
      <c r="G13" s="5" t="s">
        <v>128</v>
      </c>
      <c r="H13" s="5" t="s">
        <v>95</v>
      </c>
      <c r="I13" s="5" t="s">
        <v>129</v>
      </c>
      <c r="J13" s="5" t="s">
        <v>57</v>
      </c>
    </row>
    <row r="14" ht="33" spans="1:10">
      <c r="A14" s="37" t="s">
        <v>26</v>
      </c>
      <c r="B14" s="5" t="s">
        <v>130</v>
      </c>
      <c r="C14" s="5" t="s">
        <v>131</v>
      </c>
      <c r="D14" s="5" t="s">
        <v>132</v>
      </c>
      <c r="E14" s="5" t="s">
        <v>52</v>
      </c>
      <c r="F14" s="5" t="s">
        <v>133</v>
      </c>
      <c r="G14" s="5" t="s">
        <v>134</v>
      </c>
      <c r="H14" s="5" t="s">
        <v>135</v>
      </c>
      <c r="I14" s="5" t="s">
        <v>136</v>
      </c>
      <c r="J14" s="5" t="s">
        <v>57</v>
      </c>
    </row>
    <row r="15" ht="33" spans="1:10">
      <c r="A15" s="37" t="s">
        <v>26</v>
      </c>
      <c r="B15" s="5" t="s">
        <v>137</v>
      </c>
      <c r="C15" s="5" t="s">
        <v>138</v>
      </c>
      <c r="D15" s="5" t="s">
        <v>139</v>
      </c>
      <c r="E15" s="5" t="s">
        <v>77</v>
      </c>
      <c r="F15" s="5" t="s">
        <v>140</v>
      </c>
      <c r="G15" s="5" t="s">
        <v>141</v>
      </c>
      <c r="H15" s="5" t="s">
        <v>142</v>
      </c>
      <c r="I15" s="5" t="s">
        <v>73</v>
      </c>
      <c r="J15" s="5" t="s">
        <v>82</v>
      </c>
    </row>
    <row r="16" ht="33" spans="1:10">
      <c r="A16" s="37" t="s">
        <v>26</v>
      </c>
      <c r="B16" s="5" t="s">
        <v>143</v>
      </c>
      <c r="C16" s="5" t="s">
        <v>144</v>
      </c>
      <c r="D16" s="5" t="s">
        <v>145</v>
      </c>
      <c r="E16" s="5" t="s">
        <v>43</v>
      </c>
      <c r="F16" s="5" t="s">
        <v>146</v>
      </c>
      <c r="G16" s="5" t="s">
        <v>147</v>
      </c>
      <c r="H16" s="5" t="s">
        <v>148</v>
      </c>
      <c r="I16" s="5" t="s">
        <v>96</v>
      </c>
      <c r="J16" s="5" t="s">
        <v>82</v>
      </c>
    </row>
    <row r="17" ht="33" spans="1:10">
      <c r="A17" s="37" t="s">
        <v>26</v>
      </c>
      <c r="B17" s="5" t="s">
        <v>149</v>
      </c>
      <c r="C17" s="5" t="s">
        <v>150</v>
      </c>
      <c r="D17" s="5" t="s">
        <v>151</v>
      </c>
      <c r="E17" s="5" t="s">
        <v>52</v>
      </c>
      <c r="F17" s="5" t="s">
        <v>152</v>
      </c>
      <c r="G17" s="5" t="s">
        <v>153</v>
      </c>
      <c r="H17" s="5" t="s">
        <v>154</v>
      </c>
      <c r="I17" s="5" t="s">
        <v>155</v>
      </c>
      <c r="J17" s="5" t="s">
        <v>57</v>
      </c>
    </row>
    <row r="18" ht="33" spans="1:10">
      <c r="A18" s="38" t="s">
        <v>28</v>
      </c>
      <c r="B18" s="5" t="s">
        <v>156</v>
      </c>
      <c r="C18" s="5" t="s">
        <v>157</v>
      </c>
      <c r="D18" s="5" t="s">
        <v>158</v>
      </c>
      <c r="E18" s="5" t="s">
        <v>43</v>
      </c>
      <c r="F18" s="5" t="s">
        <v>159</v>
      </c>
      <c r="G18" s="5" t="s">
        <v>160</v>
      </c>
      <c r="H18" s="5" t="s">
        <v>161</v>
      </c>
      <c r="I18" s="5" t="s">
        <v>162</v>
      </c>
      <c r="J18" s="5" t="s">
        <v>48</v>
      </c>
    </row>
    <row r="19" ht="33" spans="1:10">
      <c r="A19" s="38" t="s">
        <v>28</v>
      </c>
      <c r="B19" s="5" t="s">
        <v>163</v>
      </c>
      <c r="C19" s="5" t="s">
        <v>164</v>
      </c>
      <c r="D19" s="5" t="s">
        <v>165</v>
      </c>
      <c r="E19" s="5" t="s">
        <v>166</v>
      </c>
      <c r="F19" s="5" t="s">
        <v>167</v>
      </c>
      <c r="G19" s="5" t="s">
        <v>168</v>
      </c>
      <c r="H19" s="5" t="s">
        <v>169</v>
      </c>
      <c r="I19" s="5" t="s">
        <v>170</v>
      </c>
      <c r="J19" s="5" t="s">
        <v>48</v>
      </c>
    </row>
    <row r="20" ht="33" spans="1:10">
      <c r="A20" s="38" t="s">
        <v>28</v>
      </c>
      <c r="B20" s="5" t="s">
        <v>171</v>
      </c>
      <c r="C20" s="5" t="s">
        <v>172</v>
      </c>
      <c r="D20" s="5" t="s">
        <v>173</v>
      </c>
      <c r="E20" s="5" t="s">
        <v>61</v>
      </c>
      <c r="F20" s="5" t="s">
        <v>174</v>
      </c>
      <c r="G20" s="5" t="s">
        <v>175</v>
      </c>
      <c r="H20" s="5" t="s">
        <v>176</v>
      </c>
      <c r="I20" s="5" t="s">
        <v>177</v>
      </c>
      <c r="J20" s="5" t="s">
        <v>48</v>
      </c>
    </row>
    <row r="21" ht="33" spans="1:10">
      <c r="A21" s="38" t="s">
        <v>28</v>
      </c>
      <c r="B21" s="5" t="s">
        <v>178</v>
      </c>
      <c r="C21" s="5" t="s">
        <v>179</v>
      </c>
      <c r="D21" s="5" t="s">
        <v>180</v>
      </c>
      <c r="E21" s="5" t="s">
        <v>114</v>
      </c>
      <c r="F21" s="5" t="s">
        <v>181</v>
      </c>
      <c r="G21" s="5" t="s">
        <v>182</v>
      </c>
      <c r="H21" s="5" t="s">
        <v>183</v>
      </c>
      <c r="I21" s="5" t="s">
        <v>73</v>
      </c>
      <c r="J21" s="5" t="s">
        <v>82</v>
      </c>
    </row>
    <row r="22" ht="33" spans="1:10">
      <c r="A22" s="38" t="s">
        <v>28</v>
      </c>
      <c r="B22" s="5" t="s">
        <v>184</v>
      </c>
      <c r="C22" s="5" t="s">
        <v>185</v>
      </c>
      <c r="D22" s="5" t="s">
        <v>186</v>
      </c>
      <c r="E22" s="5" t="s">
        <v>52</v>
      </c>
      <c r="F22" s="5" t="s">
        <v>187</v>
      </c>
      <c r="G22" s="5" t="s">
        <v>188</v>
      </c>
      <c r="H22" s="5" t="s">
        <v>189</v>
      </c>
      <c r="I22" s="5" t="s">
        <v>190</v>
      </c>
      <c r="J22" s="5" t="s">
        <v>57</v>
      </c>
    </row>
    <row r="23" ht="33" spans="1:10">
      <c r="A23" s="38" t="s">
        <v>28</v>
      </c>
      <c r="B23" s="5" t="s">
        <v>191</v>
      </c>
      <c r="C23" s="5" t="s">
        <v>192</v>
      </c>
      <c r="D23" s="5" t="s">
        <v>193</v>
      </c>
      <c r="E23" s="5" t="s">
        <v>166</v>
      </c>
      <c r="F23" s="5" t="s">
        <v>194</v>
      </c>
      <c r="G23" s="5" t="s">
        <v>195</v>
      </c>
      <c r="H23" s="5" t="s">
        <v>196</v>
      </c>
      <c r="I23" s="5" t="s">
        <v>56</v>
      </c>
      <c r="J23" s="5" t="s">
        <v>48</v>
      </c>
    </row>
    <row r="24" ht="33" spans="1:10">
      <c r="A24" s="38" t="s">
        <v>28</v>
      </c>
      <c r="B24" s="5" t="s">
        <v>197</v>
      </c>
      <c r="C24" s="5" t="s">
        <v>198</v>
      </c>
      <c r="D24" s="5" t="s">
        <v>199</v>
      </c>
      <c r="E24" s="5" t="s">
        <v>200</v>
      </c>
      <c r="F24" s="5" t="s">
        <v>201</v>
      </c>
      <c r="G24" s="5" t="s">
        <v>202</v>
      </c>
      <c r="H24" s="5" t="s">
        <v>203</v>
      </c>
      <c r="I24" s="5" t="s">
        <v>177</v>
      </c>
      <c r="J24" s="5" t="s">
        <v>48</v>
      </c>
    </row>
    <row r="25" ht="33" spans="1:10">
      <c r="A25" s="38" t="s">
        <v>28</v>
      </c>
      <c r="B25" s="5" t="s">
        <v>204</v>
      </c>
      <c r="C25" s="5" t="s">
        <v>205</v>
      </c>
      <c r="D25" s="5" t="s">
        <v>206</v>
      </c>
      <c r="E25" s="5" t="s">
        <v>200</v>
      </c>
      <c r="F25" s="5" t="s">
        <v>207</v>
      </c>
      <c r="G25" s="5" t="s">
        <v>208</v>
      </c>
      <c r="H25" s="5" t="s">
        <v>209</v>
      </c>
      <c r="I25" s="5" t="s">
        <v>210</v>
      </c>
      <c r="J25" s="5" t="s">
        <v>48</v>
      </c>
    </row>
    <row r="26" ht="33" spans="1:10">
      <c r="A26" s="38" t="s">
        <v>28</v>
      </c>
      <c r="B26" s="5" t="s">
        <v>211</v>
      </c>
      <c r="C26" s="5" t="s">
        <v>212</v>
      </c>
      <c r="D26" s="5" t="s">
        <v>213</v>
      </c>
      <c r="E26" s="5" t="s">
        <v>200</v>
      </c>
      <c r="F26" s="5" t="s">
        <v>214</v>
      </c>
      <c r="G26" s="5" t="s">
        <v>215</v>
      </c>
      <c r="H26" s="5" t="s">
        <v>216</v>
      </c>
      <c r="I26" s="5" t="s">
        <v>217</v>
      </c>
      <c r="J26" s="5" t="s">
        <v>48</v>
      </c>
    </row>
    <row r="27" ht="33" spans="1:10">
      <c r="A27" s="38" t="s">
        <v>28</v>
      </c>
      <c r="B27" s="5" t="s">
        <v>218</v>
      </c>
      <c r="C27" s="5" t="s">
        <v>219</v>
      </c>
      <c r="D27" s="5" t="s">
        <v>220</v>
      </c>
      <c r="E27" s="5" t="s">
        <v>52</v>
      </c>
      <c r="F27" s="5" t="s">
        <v>221</v>
      </c>
      <c r="G27" s="5" t="s">
        <v>222</v>
      </c>
      <c r="H27" s="5" t="s">
        <v>223</v>
      </c>
      <c r="I27" s="5" t="s">
        <v>110</v>
      </c>
      <c r="J27" s="5" t="s">
        <v>82</v>
      </c>
    </row>
    <row r="28" ht="33" spans="1:10">
      <c r="A28" s="38" t="s">
        <v>28</v>
      </c>
      <c r="B28" s="5" t="s">
        <v>224</v>
      </c>
      <c r="C28" s="5" t="s">
        <v>225</v>
      </c>
      <c r="D28" s="5" t="s">
        <v>226</v>
      </c>
      <c r="E28" s="5" t="s">
        <v>52</v>
      </c>
      <c r="F28" s="5" t="s">
        <v>227</v>
      </c>
      <c r="G28" s="5" t="s">
        <v>228</v>
      </c>
      <c r="H28" s="5" t="s">
        <v>148</v>
      </c>
      <c r="I28" s="5" t="s">
        <v>73</v>
      </c>
      <c r="J28" s="5" t="s">
        <v>57</v>
      </c>
    </row>
    <row r="30" ht="14.25" spans="1:1">
      <c r="A30" s="8" t="s">
        <v>229</v>
      </c>
    </row>
  </sheetData>
  <mergeCells count="1">
    <mergeCell ref="A30:J3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6"/>
  <sheetViews>
    <sheetView showGridLines="0" workbookViewId="0">
      <pane ySplit="1" topLeftCell="A4" activePane="bottomLeft" state="frozen"/>
      <selection/>
      <selection pane="bottomLeft" activeCell="A14" sqref="A14"/>
    </sheetView>
  </sheetViews>
  <sheetFormatPr defaultColWidth="9" defaultRowHeight="13.5"/>
  <cols>
    <col min="1" max="1" width="16" customWidth="1"/>
    <col min="2" max="2" width="12" customWidth="1"/>
    <col min="3" max="3" width="30" customWidth="1"/>
    <col min="4" max="4" width="40" customWidth="1"/>
    <col min="5" max="5" width="22" customWidth="1"/>
    <col min="6" max="6" width="16" customWidth="1"/>
    <col min="7" max="7" width="9" customWidth="1"/>
    <col min="8" max="8" width="16" customWidth="1"/>
    <col min="9" max="9" width="18" customWidth="1"/>
    <col min="10" max="10" width="26" customWidth="1"/>
  </cols>
  <sheetData>
    <row r="1" ht="28" customHeight="1" spans="1:10">
      <c r="A1" s="3" t="s">
        <v>230</v>
      </c>
      <c r="B1" s="3" t="s">
        <v>231</v>
      </c>
      <c r="C1" s="3" t="s">
        <v>232</v>
      </c>
      <c r="D1" s="3" t="s">
        <v>233</v>
      </c>
      <c r="E1" s="3" t="s">
        <v>234</v>
      </c>
      <c r="F1" s="3" t="s">
        <v>235</v>
      </c>
      <c r="G1" s="3" t="s">
        <v>236</v>
      </c>
      <c r="H1" s="3" t="s">
        <v>237</v>
      </c>
      <c r="I1" s="3" t="s">
        <v>238</v>
      </c>
      <c r="J1" s="3" t="s">
        <v>239</v>
      </c>
    </row>
    <row r="2" ht="16.5" spans="1:10">
      <c r="A2" s="36" t="s">
        <v>240</v>
      </c>
      <c r="B2" s="5" t="s">
        <v>241</v>
      </c>
      <c r="C2" s="5" t="s">
        <v>242</v>
      </c>
      <c r="D2" s="5" t="s">
        <v>243</v>
      </c>
      <c r="E2" s="5" t="s">
        <v>244</v>
      </c>
      <c r="F2" s="5" t="s">
        <v>245</v>
      </c>
      <c r="G2" s="5" t="s">
        <v>246</v>
      </c>
      <c r="H2" s="5" t="s">
        <v>247</v>
      </c>
      <c r="I2" s="5" t="s">
        <v>248</v>
      </c>
      <c r="J2" s="5" t="s">
        <v>249</v>
      </c>
    </row>
    <row r="3" ht="16.5" spans="1:10">
      <c r="A3" s="36" t="s">
        <v>240</v>
      </c>
      <c r="B3" s="5" t="s">
        <v>250</v>
      </c>
      <c r="C3" s="5" t="s">
        <v>251</v>
      </c>
      <c r="D3" s="5" t="s">
        <v>252</v>
      </c>
      <c r="E3" s="5" t="s">
        <v>253</v>
      </c>
      <c r="F3" s="5" t="s">
        <v>254</v>
      </c>
      <c r="G3" s="5" t="s">
        <v>255</v>
      </c>
      <c r="H3" s="5" t="s">
        <v>256</v>
      </c>
      <c r="I3" s="5" t="s">
        <v>248</v>
      </c>
      <c r="J3" s="5" t="s">
        <v>257</v>
      </c>
    </row>
    <row r="4" ht="16.5" spans="1:10">
      <c r="A4" s="36" t="s">
        <v>240</v>
      </c>
      <c r="B4" s="5" t="s">
        <v>258</v>
      </c>
      <c r="C4" s="5" t="s">
        <v>259</v>
      </c>
      <c r="D4" s="5" t="s">
        <v>260</v>
      </c>
      <c r="E4" s="5" t="s">
        <v>261</v>
      </c>
      <c r="F4" s="5" t="s">
        <v>72</v>
      </c>
      <c r="G4" s="5" t="s">
        <v>262</v>
      </c>
      <c r="H4" s="5" t="s">
        <v>263</v>
      </c>
      <c r="I4" s="5" t="s">
        <v>248</v>
      </c>
      <c r="J4" s="5" t="s">
        <v>264</v>
      </c>
    </row>
    <row r="5" ht="16.5" spans="1:10">
      <c r="A5" s="36" t="s">
        <v>240</v>
      </c>
      <c r="B5" s="5" t="s">
        <v>265</v>
      </c>
      <c r="C5" s="5" t="s">
        <v>266</v>
      </c>
      <c r="D5" s="5" t="s">
        <v>267</v>
      </c>
      <c r="E5" s="5" t="s">
        <v>268</v>
      </c>
      <c r="F5" s="5" t="s">
        <v>269</v>
      </c>
      <c r="G5" s="5" t="s">
        <v>262</v>
      </c>
      <c r="H5" s="5" t="s">
        <v>270</v>
      </c>
      <c r="I5" s="5" t="s">
        <v>271</v>
      </c>
      <c r="J5" s="5" t="s">
        <v>272</v>
      </c>
    </row>
    <row r="6" ht="16.5" spans="1:10">
      <c r="A6" s="36" t="s">
        <v>240</v>
      </c>
      <c r="B6" s="5" t="s">
        <v>273</v>
      </c>
      <c r="C6" s="5" t="s">
        <v>274</v>
      </c>
      <c r="D6" s="5" t="s">
        <v>275</v>
      </c>
      <c r="E6" s="5" t="s">
        <v>276</v>
      </c>
      <c r="F6" s="5" t="s">
        <v>277</v>
      </c>
      <c r="G6" s="5" t="s">
        <v>262</v>
      </c>
      <c r="H6" s="5" t="s">
        <v>278</v>
      </c>
      <c r="I6" s="5" t="s">
        <v>279</v>
      </c>
      <c r="J6" s="5" t="s">
        <v>280</v>
      </c>
    </row>
    <row r="7" ht="16.5" spans="1:10">
      <c r="A7" s="36" t="s">
        <v>240</v>
      </c>
      <c r="B7" s="5" t="s">
        <v>281</v>
      </c>
      <c r="C7" s="5" t="s">
        <v>282</v>
      </c>
      <c r="D7" s="5" t="s">
        <v>283</v>
      </c>
      <c r="E7" s="5" t="s">
        <v>284</v>
      </c>
      <c r="F7" s="5" t="s">
        <v>285</v>
      </c>
      <c r="G7" s="5" t="s">
        <v>286</v>
      </c>
      <c r="H7" s="5" t="s">
        <v>287</v>
      </c>
      <c r="I7" s="5" t="s">
        <v>288</v>
      </c>
      <c r="J7" s="5" t="s">
        <v>289</v>
      </c>
    </row>
    <row r="8" ht="16.5" spans="1:10">
      <c r="A8" s="36" t="s">
        <v>240</v>
      </c>
      <c r="B8" s="5" t="s">
        <v>290</v>
      </c>
      <c r="C8" s="5" t="s">
        <v>291</v>
      </c>
      <c r="D8" s="5" t="s">
        <v>292</v>
      </c>
      <c r="E8" s="5" t="s">
        <v>293</v>
      </c>
      <c r="F8" s="5" t="s">
        <v>294</v>
      </c>
      <c r="G8" s="5" t="s">
        <v>255</v>
      </c>
      <c r="H8" s="5" t="s">
        <v>295</v>
      </c>
      <c r="I8" s="5" t="s">
        <v>296</v>
      </c>
      <c r="J8" s="5" t="s">
        <v>297</v>
      </c>
    </row>
    <row r="9" ht="16.5" spans="1:10">
      <c r="A9" s="36" t="s">
        <v>240</v>
      </c>
      <c r="B9" s="5" t="s">
        <v>298</v>
      </c>
      <c r="C9" s="5" t="s">
        <v>299</v>
      </c>
      <c r="D9" s="5" t="s">
        <v>300</v>
      </c>
      <c r="E9" s="5" t="s">
        <v>301</v>
      </c>
      <c r="F9" s="5" t="s">
        <v>302</v>
      </c>
      <c r="G9" s="5" t="s">
        <v>48</v>
      </c>
      <c r="H9" s="5" t="s">
        <v>303</v>
      </c>
      <c r="I9" s="5" t="s">
        <v>304</v>
      </c>
      <c r="J9" s="5" t="s">
        <v>305</v>
      </c>
    </row>
    <row r="10" ht="16.5" spans="1:10">
      <c r="A10" s="36" t="s">
        <v>240</v>
      </c>
      <c r="B10" s="5" t="s">
        <v>306</v>
      </c>
      <c r="C10" s="5" t="s">
        <v>307</v>
      </c>
      <c r="D10" s="5" t="s">
        <v>308</v>
      </c>
      <c r="E10" s="5" t="s">
        <v>309</v>
      </c>
      <c r="F10" s="5" t="s">
        <v>223</v>
      </c>
      <c r="G10" s="5" t="s">
        <v>48</v>
      </c>
      <c r="H10" s="5" t="s">
        <v>295</v>
      </c>
      <c r="I10" s="5" t="s">
        <v>310</v>
      </c>
      <c r="J10" s="5" t="s">
        <v>311</v>
      </c>
    </row>
    <row r="11" ht="16.5" spans="1:10">
      <c r="A11" s="36" t="s">
        <v>240</v>
      </c>
      <c r="B11" s="5" t="s">
        <v>312</v>
      </c>
      <c r="C11" s="5" t="s">
        <v>313</v>
      </c>
      <c r="D11" s="5" t="s">
        <v>314</v>
      </c>
      <c r="E11" s="5" t="s">
        <v>315</v>
      </c>
      <c r="F11" s="5" t="s">
        <v>316</v>
      </c>
      <c r="G11" s="5" t="s">
        <v>262</v>
      </c>
      <c r="H11" s="5" t="s">
        <v>317</v>
      </c>
      <c r="I11" s="5" t="s">
        <v>318</v>
      </c>
      <c r="J11" s="5" t="s">
        <v>319</v>
      </c>
    </row>
    <row r="12" ht="16.5" spans="1:10">
      <c r="A12" s="36" t="s">
        <v>240</v>
      </c>
      <c r="B12" s="5" t="s">
        <v>320</v>
      </c>
      <c r="C12" s="5" t="s">
        <v>321</v>
      </c>
      <c r="D12" s="5" t="s">
        <v>322</v>
      </c>
      <c r="E12" s="5" t="s">
        <v>323</v>
      </c>
      <c r="F12" s="5" t="s">
        <v>324</v>
      </c>
      <c r="G12" s="5" t="s">
        <v>255</v>
      </c>
      <c r="H12" s="5" t="s">
        <v>325</v>
      </c>
      <c r="I12" s="5" t="s">
        <v>326</v>
      </c>
      <c r="J12" s="5" t="s">
        <v>327</v>
      </c>
    </row>
    <row r="13" ht="16.5" spans="1:10">
      <c r="A13" s="36" t="s">
        <v>240</v>
      </c>
      <c r="B13" s="5" t="s">
        <v>328</v>
      </c>
      <c r="C13" s="5" t="s">
        <v>329</v>
      </c>
      <c r="D13" s="5" t="s">
        <v>330</v>
      </c>
      <c r="E13" s="5" t="s">
        <v>331</v>
      </c>
      <c r="F13" s="5" t="s">
        <v>332</v>
      </c>
      <c r="G13" s="5" t="s">
        <v>262</v>
      </c>
      <c r="H13" s="5" t="s">
        <v>263</v>
      </c>
      <c r="I13" s="5" t="s">
        <v>333</v>
      </c>
      <c r="J13" s="5" t="s">
        <v>334</v>
      </c>
    </row>
    <row r="14" ht="16.5" spans="1:10">
      <c r="A14" s="37" t="s">
        <v>335</v>
      </c>
      <c r="B14" s="5" t="s">
        <v>336</v>
      </c>
      <c r="C14" s="5" t="s">
        <v>337</v>
      </c>
      <c r="D14" s="5" t="s">
        <v>338</v>
      </c>
      <c r="E14" s="5" t="s">
        <v>339</v>
      </c>
      <c r="F14" s="5" t="s">
        <v>340</v>
      </c>
      <c r="G14" s="5" t="s">
        <v>246</v>
      </c>
      <c r="H14" s="5" t="s">
        <v>341</v>
      </c>
      <c r="I14" s="5" t="s">
        <v>342</v>
      </c>
      <c r="J14" s="5" t="s">
        <v>343</v>
      </c>
    </row>
    <row r="15" ht="16.5" spans="1:10">
      <c r="A15" s="37" t="s">
        <v>335</v>
      </c>
      <c r="B15" s="5" t="s">
        <v>344</v>
      </c>
      <c r="C15" s="5" t="s">
        <v>345</v>
      </c>
      <c r="D15" s="5" t="s">
        <v>346</v>
      </c>
      <c r="E15" s="5" t="s">
        <v>347</v>
      </c>
      <c r="F15" s="5" t="s">
        <v>348</v>
      </c>
      <c r="G15" s="5" t="s">
        <v>246</v>
      </c>
      <c r="H15" s="5" t="s">
        <v>295</v>
      </c>
      <c r="I15" s="5" t="s">
        <v>342</v>
      </c>
      <c r="J15" s="5" t="s">
        <v>349</v>
      </c>
    </row>
    <row r="16" ht="16.5" spans="1:10">
      <c r="A16" s="37" t="s">
        <v>335</v>
      </c>
      <c r="B16" s="5" t="s">
        <v>350</v>
      </c>
      <c r="C16" s="5" t="s">
        <v>351</v>
      </c>
      <c r="D16" s="5" t="s">
        <v>352</v>
      </c>
      <c r="E16" s="5" t="s">
        <v>353</v>
      </c>
      <c r="F16" s="5" t="s">
        <v>354</v>
      </c>
      <c r="G16" s="5" t="s">
        <v>355</v>
      </c>
      <c r="H16" s="5" t="s">
        <v>356</v>
      </c>
      <c r="I16" s="5" t="s">
        <v>342</v>
      </c>
      <c r="J16" s="5" t="s">
        <v>357</v>
      </c>
    </row>
    <row r="17" ht="16.5" spans="1:10">
      <c r="A17" s="37" t="s">
        <v>335</v>
      </c>
      <c r="B17" s="5" t="s">
        <v>358</v>
      </c>
      <c r="C17" s="5" t="s">
        <v>359</v>
      </c>
      <c r="D17" s="5" t="s">
        <v>360</v>
      </c>
      <c r="E17" s="5" t="s">
        <v>361</v>
      </c>
      <c r="F17" s="5" t="s">
        <v>362</v>
      </c>
      <c r="G17" s="5" t="s">
        <v>255</v>
      </c>
      <c r="H17" s="5" t="s">
        <v>363</v>
      </c>
      <c r="I17" s="5" t="s">
        <v>364</v>
      </c>
      <c r="J17" s="5" t="s">
        <v>365</v>
      </c>
    </row>
    <row r="18" ht="16.5" spans="1:10">
      <c r="A18" s="37" t="s">
        <v>335</v>
      </c>
      <c r="B18" s="5" t="s">
        <v>366</v>
      </c>
      <c r="C18" s="5" t="s">
        <v>367</v>
      </c>
      <c r="D18" s="5" t="s">
        <v>368</v>
      </c>
      <c r="E18" s="5" t="s">
        <v>369</v>
      </c>
      <c r="F18" s="5" t="s">
        <v>370</v>
      </c>
      <c r="G18" s="5" t="s">
        <v>246</v>
      </c>
      <c r="H18" s="5" t="s">
        <v>371</v>
      </c>
      <c r="I18" s="5" t="s">
        <v>342</v>
      </c>
      <c r="J18" s="5" t="s">
        <v>372</v>
      </c>
    </row>
    <row r="19" ht="33" spans="1:10">
      <c r="A19" s="38" t="s">
        <v>373</v>
      </c>
      <c r="B19" s="5" t="s">
        <v>374</v>
      </c>
      <c r="C19" s="5" t="s">
        <v>375</v>
      </c>
      <c r="D19" s="5" t="s">
        <v>376</v>
      </c>
      <c r="E19" s="5" t="s">
        <v>377</v>
      </c>
      <c r="F19" s="5" t="s">
        <v>378</v>
      </c>
      <c r="G19" s="5" t="s">
        <v>379</v>
      </c>
      <c r="H19" s="5" t="s">
        <v>380</v>
      </c>
      <c r="I19" s="5" t="s">
        <v>381</v>
      </c>
      <c r="J19" s="5" t="s">
        <v>382</v>
      </c>
    </row>
    <row r="20" ht="16.5" spans="1:10">
      <c r="A20" s="38" t="s">
        <v>373</v>
      </c>
      <c r="B20" s="5" t="s">
        <v>383</v>
      </c>
      <c r="C20" s="5" t="s">
        <v>384</v>
      </c>
      <c r="D20" s="5" t="s">
        <v>385</v>
      </c>
      <c r="E20" s="5" t="s">
        <v>386</v>
      </c>
      <c r="F20" s="5" t="s">
        <v>387</v>
      </c>
      <c r="G20" s="5" t="s">
        <v>379</v>
      </c>
      <c r="H20" s="5" t="s">
        <v>388</v>
      </c>
      <c r="I20" s="5" t="s">
        <v>381</v>
      </c>
      <c r="J20" s="5" t="s">
        <v>389</v>
      </c>
    </row>
    <row r="21" ht="16.5" spans="1:10">
      <c r="A21" s="38" t="s">
        <v>373</v>
      </c>
      <c r="B21" s="5" t="s">
        <v>390</v>
      </c>
      <c r="C21" s="5" t="s">
        <v>391</v>
      </c>
      <c r="D21" s="5" t="s">
        <v>392</v>
      </c>
      <c r="E21" s="5" t="s">
        <v>393</v>
      </c>
      <c r="F21" s="5" t="s">
        <v>394</v>
      </c>
      <c r="G21" s="5" t="s">
        <v>379</v>
      </c>
      <c r="H21" s="5" t="s">
        <v>395</v>
      </c>
      <c r="I21" s="5" t="s">
        <v>381</v>
      </c>
      <c r="J21" s="5" t="s">
        <v>396</v>
      </c>
    </row>
    <row r="22" ht="16.5" spans="1:10">
      <c r="A22" s="38" t="s">
        <v>373</v>
      </c>
      <c r="B22" s="5" t="s">
        <v>397</v>
      </c>
      <c r="C22" s="5" t="s">
        <v>398</v>
      </c>
      <c r="D22" s="5" t="s">
        <v>399</v>
      </c>
      <c r="E22" s="5" t="s">
        <v>400</v>
      </c>
      <c r="F22" s="5" t="s">
        <v>401</v>
      </c>
      <c r="G22" s="5" t="s">
        <v>402</v>
      </c>
      <c r="H22" s="5" t="s">
        <v>403</v>
      </c>
      <c r="I22" s="5" t="s">
        <v>404</v>
      </c>
      <c r="J22" s="5" t="s">
        <v>405</v>
      </c>
    </row>
    <row r="23" ht="16.5" spans="1:10">
      <c r="A23" s="38" t="s">
        <v>373</v>
      </c>
      <c r="B23" s="5" t="s">
        <v>406</v>
      </c>
      <c r="C23" s="5" t="s">
        <v>407</v>
      </c>
      <c r="D23" s="5" t="s">
        <v>408</v>
      </c>
      <c r="E23" s="5" t="s">
        <v>409</v>
      </c>
      <c r="F23" s="5" t="s">
        <v>378</v>
      </c>
      <c r="G23" s="5" t="s">
        <v>379</v>
      </c>
      <c r="H23" s="5" t="s">
        <v>410</v>
      </c>
      <c r="I23" s="5" t="s">
        <v>411</v>
      </c>
      <c r="J23" s="5" t="s">
        <v>412</v>
      </c>
    </row>
    <row r="24" ht="16.5" spans="1:10">
      <c r="A24" s="38" t="s">
        <v>373</v>
      </c>
      <c r="B24" s="5" t="s">
        <v>413</v>
      </c>
      <c r="C24" s="5" t="s">
        <v>414</v>
      </c>
      <c r="D24" s="5" t="s">
        <v>415</v>
      </c>
      <c r="E24" s="5" t="s">
        <v>416</v>
      </c>
      <c r="F24" s="5" t="s">
        <v>394</v>
      </c>
      <c r="G24" s="5" t="s">
        <v>379</v>
      </c>
      <c r="H24" s="5" t="s">
        <v>417</v>
      </c>
      <c r="I24" s="5" t="s">
        <v>418</v>
      </c>
      <c r="J24" s="5" t="s">
        <v>419</v>
      </c>
    </row>
    <row r="25" ht="16.5" spans="1:10">
      <c r="A25" s="38" t="s">
        <v>373</v>
      </c>
      <c r="B25" s="5" t="s">
        <v>420</v>
      </c>
      <c r="C25" s="5" t="s">
        <v>421</v>
      </c>
      <c r="D25" s="5" t="s">
        <v>422</v>
      </c>
      <c r="E25" s="5" t="s">
        <v>423</v>
      </c>
      <c r="F25" s="5" t="s">
        <v>424</v>
      </c>
      <c r="G25" s="5" t="s">
        <v>379</v>
      </c>
      <c r="H25" s="5" t="s">
        <v>425</v>
      </c>
      <c r="I25" s="5" t="s">
        <v>411</v>
      </c>
      <c r="J25" s="5" t="s">
        <v>426</v>
      </c>
    </row>
    <row r="26" ht="16.5" spans="1:10">
      <c r="A26" s="38" t="s">
        <v>373</v>
      </c>
      <c r="B26" s="5" t="s">
        <v>427</v>
      </c>
      <c r="C26" s="5" t="s">
        <v>428</v>
      </c>
      <c r="D26" s="5" t="s">
        <v>429</v>
      </c>
      <c r="E26" s="5" t="s">
        <v>430</v>
      </c>
      <c r="F26" s="5" t="s">
        <v>431</v>
      </c>
      <c r="G26" s="5" t="s">
        <v>402</v>
      </c>
      <c r="H26" s="5" t="s">
        <v>432</v>
      </c>
      <c r="I26" s="5" t="s">
        <v>433</v>
      </c>
      <c r="J26" s="5" t="s">
        <v>434</v>
      </c>
    </row>
    <row r="27" ht="16.5" spans="1:10">
      <c r="A27" s="38" t="s">
        <v>373</v>
      </c>
      <c r="B27" s="5" t="s">
        <v>435</v>
      </c>
      <c r="C27" s="5" t="s">
        <v>436</v>
      </c>
      <c r="D27" s="5" t="s">
        <v>437</v>
      </c>
      <c r="E27" s="5" t="s">
        <v>438</v>
      </c>
      <c r="F27" s="5" t="s">
        <v>424</v>
      </c>
      <c r="G27" s="5" t="s">
        <v>379</v>
      </c>
      <c r="H27" s="5" t="s">
        <v>439</v>
      </c>
      <c r="I27" s="5" t="s">
        <v>381</v>
      </c>
      <c r="J27" s="5" t="s">
        <v>440</v>
      </c>
    </row>
    <row r="28" ht="16.5" spans="1:10">
      <c r="A28" s="38" t="s">
        <v>373</v>
      </c>
      <c r="B28" s="5" t="s">
        <v>441</v>
      </c>
      <c r="C28" s="5" t="s">
        <v>442</v>
      </c>
      <c r="D28" s="5" t="s">
        <v>443</v>
      </c>
      <c r="E28" s="5" t="s">
        <v>444</v>
      </c>
      <c r="F28" s="5" t="s">
        <v>387</v>
      </c>
      <c r="G28" s="5" t="s">
        <v>379</v>
      </c>
      <c r="H28" s="5" t="s">
        <v>425</v>
      </c>
      <c r="I28" s="5" t="s">
        <v>411</v>
      </c>
      <c r="J28" s="5" t="s">
        <v>445</v>
      </c>
    </row>
    <row r="29" ht="16.5" spans="1:10">
      <c r="A29" s="38" t="s">
        <v>373</v>
      </c>
      <c r="B29" s="5" t="s">
        <v>446</v>
      </c>
      <c r="C29" s="5" t="s">
        <v>447</v>
      </c>
      <c r="D29" s="5" t="s">
        <v>448</v>
      </c>
      <c r="E29" s="5" t="s">
        <v>449</v>
      </c>
      <c r="F29" s="5" t="s">
        <v>450</v>
      </c>
      <c r="G29" s="5" t="s">
        <v>402</v>
      </c>
      <c r="H29" s="5" t="s">
        <v>451</v>
      </c>
      <c r="I29" s="5" t="s">
        <v>452</v>
      </c>
      <c r="J29" s="5" t="s">
        <v>453</v>
      </c>
    </row>
    <row r="30" ht="16.5" spans="1:10">
      <c r="A30" s="38" t="s">
        <v>373</v>
      </c>
      <c r="B30" s="5" t="s">
        <v>454</v>
      </c>
      <c r="C30" s="5" t="s">
        <v>455</v>
      </c>
      <c r="D30" s="5" t="s">
        <v>456</v>
      </c>
      <c r="E30" s="5" t="s">
        <v>331</v>
      </c>
      <c r="F30" s="5" t="s">
        <v>457</v>
      </c>
      <c r="G30" s="5" t="s">
        <v>402</v>
      </c>
      <c r="H30" s="5" t="s">
        <v>388</v>
      </c>
      <c r="I30" s="5" t="s">
        <v>458</v>
      </c>
      <c r="J30" s="5" t="s">
        <v>459</v>
      </c>
    </row>
    <row r="31" ht="16.5" spans="1:10">
      <c r="A31" s="6" t="s">
        <v>460</v>
      </c>
      <c r="B31" s="5" t="s">
        <v>461</v>
      </c>
      <c r="C31" s="5" t="s">
        <v>462</v>
      </c>
      <c r="D31" s="5" t="s">
        <v>463</v>
      </c>
      <c r="E31" s="5" t="s">
        <v>464</v>
      </c>
      <c r="F31" s="5" t="s">
        <v>465</v>
      </c>
      <c r="G31" s="5" t="s">
        <v>466</v>
      </c>
      <c r="H31" s="5" t="s">
        <v>467</v>
      </c>
      <c r="I31" s="5" t="s">
        <v>468</v>
      </c>
      <c r="J31" s="5" t="s">
        <v>469</v>
      </c>
    </row>
    <row r="32" ht="16.5" spans="1:10">
      <c r="A32" s="6" t="s">
        <v>460</v>
      </c>
      <c r="B32" s="5" t="s">
        <v>470</v>
      </c>
      <c r="C32" s="5" t="s">
        <v>471</v>
      </c>
      <c r="D32" s="5" t="s">
        <v>472</v>
      </c>
      <c r="E32" s="5" t="s">
        <v>473</v>
      </c>
      <c r="F32" s="5" t="s">
        <v>474</v>
      </c>
      <c r="G32" s="5" t="s">
        <v>466</v>
      </c>
      <c r="H32" s="5" t="s">
        <v>475</v>
      </c>
      <c r="I32" s="5" t="s">
        <v>468</v>
      </c>
      <c r="J32" s="5" t="s">
        <v>476</v>
      </c>
    </row>
    <row r="33" ht="16.5" spans="1:10">
      <c r="A33" s="6" t="s">
        <v>460</v>
      </c>
      <c r="B33" s="5" t="s">
        <v>477</v>
      </c>
      <c r="C33" s="5" t="s">
        <v>478</v>
      </c>
      <c r="D33" s="5" t="s">
        <v>479</v>
      </c>
      <c r="E33" s="5" t="s">
        <v>480</v>
      </c>
      <c r="F33" s="5" t="s">
        <v>481</v>
      </c>
      <c r="G33" s="5" t="s">
        <v>482</v>
      </c>
      <c r="H33" s="5" t="s">
        <v>483</v>
      </c>
      <c r="I33" s="5" t="s">
        <v>468</v>
      </c>
      <c r="J33" s="5" t="s">
        <v>484</v>
      </c>
    </row>
    <row r="34" ht="16.5" spans="1:10">
      <c r="A34" s="6" t="s">
        <v>460</v>
      </c>
      <c r="B34" s="5" t="s">
        <v>485</v>
      </c>
      <c r="C34" s="5" t="s">
        <v>486</v>
      </c>
      <c r="D34" s="5" t="s">
        <v>487</v>
      </c>
      <c r="E34" s="5" t="s">
        <v>488</v>
      </c>
      <c r="F34" s="5" t="s">
        <v>378</v>
      </c>
      <c r="G34" s="5" t="s">
        <v>482</v>
      </c>
      <c r="H34" s="5" t="s">
        <v>483</v>
      </c>
      <c r="I34" s="5" t="s">
        <v>489</v>
      </c>
      <c r="J34" s="5" t="s">
        <v>490</v>
      </c>
    </row>
    <row r="35" ht="16.5" spans="1:10">
      <c r="A35" s="6" t="s">
        <v>460</v>
      </c>
      <c r="B35" s="5" t="s">
        <v>491</v>
      </c>
      <c r="C35" s="5" t="s">
        <v>492</v>
      </c>
      <c r="D35" s="5" t="s">
        <v>493</v>
      </c>
      <c r="E35" s="5" t="s">
        <v>494</v>
      </c>
      <c r="F35" s="5" t="s">
        <v>348</v>
      </c>
      <c r="G35" s="5" t="s">
        <v>286</v>
      </c>
      <c r="H35" s="5" t="s">
        <v>495</v>
      </c>
      <c r="I35" s="5" t="s">
        <v>342</v>
      </c>
      <c r="J35" s="5" t="s">
        <v>496</v>
      </c>
    </row>
    <row r="36" ht="16.5" spans="1:10">
      <c r="A36" s="6" t="s">
        <v>460</v>
      </c>
      <c r="B36" s="5" t="s">
        <v>497</v>
      </c>
      <c r="C36" s="5" t="s">
        <v>498</v>
      </c>
      <c r="D36" s="5" t="s">
        <v>499</v>
      </c>
      <c r="E36" s="5" t="s">
        <v>500</v>
      </c>
      <c r="F36" s="5" t="s">
        <v>481</v>
      </c>
      <c r="G36" s="5" t="s">
        <v>482</v>
      </c>
      <c r="H36" s="5" t="s">
        <v>501</v>
      </c>
      <c r="I36" s="5" t="s">
        <v>468</v>
      </c>
      <c r="J36" s="5" t="s">
        <v>502</v>
      </c>
    </row>
    <row r="37" ht="16.5" spans="1:10">
      <c r="A37" s="6" t="s">
        <v>460</v>
      </c>
      <c r="B37" s="5" t="s">
        <v>503</v>
      </c>
      <c r="C37" s="5" t="s">
        <v>504</v>
      </c>
      <c r="D37" s="5" t="s">
        <v>505</v>
      </c>
      <c r="E37" s="5" t="s">
        <v>506</v>
      </c>
      <c r="F37" s="5" t="s">
        <v>507</v>
      </c>
      <c r="G37" s="5" t="s">
        <v>508</v>
      </c>
      <c r="H37" s="5" t="s">
        <v>509</v>
      </c>
      <c r="I37" s="5" t="s">
        <v>342</v>
      </c>
      <c r="J37" s="5" t="s">
        <v>510</v>
      </c>
    </row>
    <row r="38" ht="16.5" spans="1:10">
      <c r="A38" s="6" t="s">
        <v>460</v>
      </c>
      <c r="B38" s="5" t="s">
        <v>511</v>
      </c>
      <c r="C38" s="5" t="s">
        <v>512</v>
      </c>
      <c r="D38" s="5" t="s">
        <v>513</v>
      </c>
      <c r="E38" s="5" t="s">
        <v>514</v>
      </c>
      <c r="F38" s="5" t="s">
        <v>515</v>
      </c>
      <c r="G38" s="5" t="s">
        <v>286</v>
      </c>
      <c r="H38" s="5" t="s">
        <v>371</v>
      </c>
      <c r="I38" s="5" t="s">
        <v>516</v>
      </c>
      <c r="J38" s="5" t="s">
        <v>517</v>
      </c>
    </row>
    <row r="39" ht="16.5" spans="1:10">
      <c r="A39" s="6" t="s">
        <v>460</v>
      </c>
      <c r="B39" s="5" t="s">
        <v>518</v>
      </c>
      <c r="C39" s="5" t="s">
        <v>519</v>
      </c>
      <c r="D39" s="5" t="s">
        <v>520</v>
      </c>
      <c r="E39" s="5" t="s">
        <v>521</v>
      </c>
      <c r="F39" s="5" t="s">
        <v>522</v>
      </c>
      <c r="G39" s="5" t="s">
        <v>286</v>
      </c>
      <c r="H39" s="5" t="s">
        <v>523</v>
      </c>
      <c r="I39" s="5" t="s">
        <v>342</v>
      </c>
      <c r="J39" s="5" t="s">
        <v>524</v>
      </c>
    </row>
    <row r="40" ht="16.5" spans="1:10">
      <c r="A40" s="6" t="s">
        <v>460</v>
      </c>
      <c r="B40" s="5" t="s">
        <v>525</v>
      </c>
      <c r="C40" s="5" t="s">
        <v>526</v>
      </c>
      <c r="D40" s="5" t="s">
        <v>527</v>
      </c>
      <c r="E40" s="5" t="s">
        <v>528</v>
      </c>
      <c r="F40" s="5" t="s">
        <v>529</v>
      </c>
      <c r="G40" s="5" t="s">
        <v>286</v>
      </c>
      <c r="H40" s="5" t="s">
        <v>371</v>
      </c>
      <c r="I40" s="5" t="s">
        <v>342</v>
      </c>
      <c r="J40" s="5" t="s">
        <v>530</v>
      </c>
    </row>
    <row r="41" ht="16.5" spans="1:10">
      <c r="A41" s="6" t="s">
        <v>460</v>
      </c>
      <c r="B41" s="5" t="s">
        <v>531</v>
      </c>
      <c r="C41" s="5" t="s">
        <v>532</v>
      </c>
      <c r="D41" s="5" t="s">
        <v>533</v>
      </c>
      <c r="E41" s="5" t="s">
        <v>534</v>
      </c>
      <c r="F41" s="5" t="s">
        <v>535</v>
      </c>
      <c r="G41" s="5" t="s">
        <v>286</v>
      </c>
      <c r="H41" s="5" t="s">
        <v>536</v>
      </c>
      <c r="I41" s="5" t="s">
        <v>318</v>
      </c>
      <c r="J41" s="5" t="s">
        <v>537</v>
      </c>
    </row>
    <row r="42" ht="16.5" spans="1:10">
      <c r="A42" s="6" t="s">
        <v>460</v>
      </c>
      <c r="B42" s="5" t="s">
        <v>538</v>
      </c>
      <c r="C42" s="5" t="s">
        <v>539</v>
      </c>
      <c r="D42" s="5" t="s">
        <v>540</v>
      </c>
      <c r="E42" s="5" t="s">
        <v>541</v>
      </c>
      <c r="F42" s="5" t="s">
        <v>542</v>
      </c>
      <c r="G42" s="5" t="s">
        <v>286</v>
      </c>
      <c r="H42" s="5" t="s">
        <v>543</v>
      </c>
      <c r="I42" s="5" t="s">
        <v>516</v>
      </c>
      <c r="J42" s="5" t="s">
        <v>544</v>
      </c>
    </row>
    <row r="43" ht="16.5" spans="1:10">
      <c r="A43" s="6" t="s">
        <v>460</v>
      </c>
      <c r="B43" s="5" t="s">
        <v>545</v>
      </c>
      <c r="C43" s="5" t="s">
        <v>546</v>
      </c>
      <c r="D43" s="5" t="s">
        <v>547</v>
      </c>
      <c r="E43" s="5" t="s">
        <v>548</v>
      </c>
      <c r="F43" s="5" t="s">
        <v>370</v>
      </c>
      <c r="G43" s="5" t="s">
        <v>286</v>
      </c>
      <c r="H43" s="5" t="s">
        <v>371</v>
      </c>
      <c r="I43" s="5" t="s">
        <v>342</v>
      </c>
      <c r="J43" s="5" t="s">
        <v>549</v>
      </c>
    </row>
    <row r="44" ht="16.5" spans="1:10">
      <c r="A44" s="6" t="s">
        <v>460</v>
      </c>
      <c r="B44" s="5" t="s">
        <v>550</v>
      </c>
      <c r="C44" s="5" t="s">
        <v>551</v>
      </c>
      <c r="D44" s="5" t="s">
        <v>552</v>
      </c>
      <c r="E44" s="5" t="s">
        <v>553</v>
      </c>
      <c r="F44" s="5" t="s">
        <v>554</v>
      </c>
      <c r="G44" s="5" t="s">
        <v>286</v>
      </c>
      <c r="H44" s="5" t="s">
        <v>555</v>
      </c>
      <c r="I44" s="5" t="s">
        <v>556</v>
      </c>
      <c r="J44" s="5" t="s">
        <v>557</v>
      </c>
    </row>
    <row r="46" ht="14.25" spans="1:1">
      <c r="A46" s="8" t="s">
        <v>558</v>
      </c>
    </row>
  </sheetData>
  <mergeCells count="1">
    <mergeCell ref="A46:J4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30"/>
  <sheetViews>
    <sheetView showGridLines="0" workbookViewId="0">
      <selection activeCell="B5" sqref="B5:M28"/>
    </sheetView>
  </sheetViews>
  <sheetFormatPr defaultColWidth="9" defaultRowHeight="13.5"/>
  <cols>
    <col min="1" max="1" width="3" customWidth="1"/>
    <col min="2" max="2" width="26" customWidth="1"/>
    <col min="3" max="3" width="12" customWidth="1"/>
    <col min="4" max="4" width="8" customWidth="1"/>
    <col min="5" max="5" width="16" customWidth="1"/>
    <col min="6" max="6" width="14" customWidth="1"/>
    <col min="7" max="7" width="16" customWidth="1"/>
    <col min="8" max="9" width="12" customWidth="1"/>
    <col min="10" max="10" width="14" customWidth="1"/>
    <col min="11" max="11" width="12" customWidth="1"/>
    <col min="12" max="12" width="14" customWidth="1"/>
    <col min="13" max="13" width="12" customWidth="1"/>
  </cols>
  <sheetData>
    <row r="2" ht="26" customHeight="1" spans="2:13">
      <c r="B2" s="1" t="s">
        <v>559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14.25" spans="2:2">
      <c r="B3" s="7" t="s">
        <v>560</v>
      </c>
    </row>
    <row r="5" ht="18" spans="2:13">
      <c r="B5" s="26" t="s">
        <v>561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</row>
    <row r="6" ht="28" customHeight="1" spans="2:13">
      <c r="B6" s="28" t="s">
        <v>562</v>
      </c>
      <c r="C6" s="28" t="s">
        <v>231</v>
      </c>
      <c r="D6" s="28" t="s">
        <v>563</v>
      </c>
      <c r="E6" s="28" t="s">
        <v>564</v>
      </c>
      <c r="F6" s="28" t="s">
        <v>565</v>
      </c>
      <c r="G6" s="28" t="s">
        <v>566</v>
      </c>
      <c r="H6" s="28" t="s">
        <v>567</v>
      </c>
      <c r="I6" s="28" t="s">
        <v>568</v>
      </c>
      <c r="J6" s="28" t="s">
        <v>569</v>
      </c>
      <c r="K6" s="28" t="s">
        <v>570</v>
      </c>
      <c r="L6" s="28" t="s">
        <v>571</v>
      </c>
      <c r="M6" s="28" t="s">
        <v>572</v>
      </c>
    </row>
    <row r="7" ht="16.5" spans="2:13">
      <c r="B7" s="29" t="s">
        <v>573</v>
      </c>
      <c r="C7" s="12" t="s">
        <v>250</v>
      </c>
      <c r="D7" s="13">
        <v>1</v>
      </c>
      <c r="E7" s="14">
        <v>1200</v>
      </c>
      <c r="F7" s="15">
        <f>D7*E7</f>
        <v>1200</v>
      </c>
      <c r="G7" s="15">
        <f>F7*0.1</f>
        <v>120</v>
      </c>
      <c r="H7" s="15">
        <f>F7+G7</f>
        <v>1320</v>
      </c>
      <c r="I7" s="33">
        <v>0.4</v>
      </c>
      <c r="J7" s="15">
        <f>H7/(1-I7)</f>
        <v>2200</v>
      </c>
      <c r="K7" s="33">
        <v>0.15</v>
      </c>
      <c r="L7" s="15">
        <f>J7*(1+K7)</f>
        <v>2530</v>
      </c>
      <c r="M7" s="34">
        <f>(L7-H7)/L7</f>
        <v>0.478260869565217</v>
      </c>
    </row>
    <row r="8" ht="16.5" spans="2:13">
      <c r="B8" s="29" t="s">
        <v>574</v>
      </c>
      <c r="C8" s="12" t="s">
        <v>265</v>
      </c>
      <c r="D8" s="13">
        <v>2</v>
      </c>
      <c r="E8" s="14">
        <v>1000</v>
      </c>
      <c r="F8" s="15">
        <f>D8*E8</f>
        <v>2000</v>
      </c>
      <c r="G8" s="15">
        <f>F8*0.1</f>
        <v>200</v>
      </c>
      <c r="H8" s="15">
        <f>F8+G8</f>
        <v>2200</v>
      </c>
      <c r="I8" s="33">
        <v>0.4</v>
      </c>
      <c r="J8" s="15">
        <f>H8/(1-I8)</f>
        <v>3666.66666666667</v>
      </c>
      <c r="K8" s="33">
        <v>0.15</v>
      </c>
      <c r="L8" s="15">
        <f>J8*(1+K8)</f>
        <v>4216.66666666667</v>
      </c>
      <c r="M8" s="34">
        <f>(L8-H8)/L8</f>
        <v>0.478260869565217</v>
      </c>
    </row>
    <row r="9" ht="16.5" spans="2:13">
      <c r="B9" s="29" t="s">
        <v>575</v>
      </c>
      <c r="C9" s="12" t="s">
        <v>374</v>
      </c>
      <c r="D9" s="13">
        <v>4</v>
      </c>
      <c r="E9" s="14">
        <v>12</v>
      </c>
      <c r="F9" s="15">
        <f>D9*E9</f>
        <v>48</v>
      </c>
      <c r="G9" s="15">
        <f>F9*0.1</f>
        <v>4.8</v>
      </c>
      <c r="H9" s="15">
        <f>F9+G9</f>
        <v>52.8</v>
      </c>
      <c r="I9" s="33">
        <v>0.4</v>
      </c>
      <c r="J9" s="15">
        <f>H9/(1-I9)</f>
        <v>88</v>
      </c>
      <c r="K9" s="33">
        <v>0.15</v>
      </c>
      <c r="L9" s="15">
        <f>J9*(1+K9)</f>
        <v>101.2</v>
      </c>
      <c r="M9" s="34">
        <f>(L9-H9)/L9</f>
        <v>0.478260869565217</v>
      </c>
    </row>
    <row r="10" ht="16.5" spans="2:13">
      <c r="B10" s="29" t="s">
        <v>576</v>
      </c>
      <c r="C10" s="12" t="s">
        <v>511</v>
      </c>
      <c r="D10" s="13">
        <v>1</v>
      </c>
      <c r="E10" s="14">
        <v>80</v>
      </c>
      <c r="F10" s="15">
        <f>D10*E10</f>
        <v>80</v>
      </c>
      <c r="G10" s="15">
        <f>F10*0.1</f>
        <v>8</v>
      </c>
      <c r="H10" s="15">
        <f>F10+G10</f>
        <v>88</v>
      </c>
      <c r="I10" s="33">
        <v>0.4</v>
      </c>
      <c r="J10" s="15">
        <f>H10/(1-I10)</f>
        <v>146.666666666667</v>
      </c>
      <c r="K10" s="33">
        <v>0.15</v>
      </c>
      <c r="L10" s="15">
        <f>J10*(1+K10)</f>
        <v>168.666666666667</v>
      </c>
      <c r="M10" s="34">
        <f>(L10-H10)/L10</f>
        <v>0.478260869565217</v>
      </c>
    </row>
    <row r="11" ht="16.5" spans="2:13">
      <c r="B11" s="30" t="s">
        <v>577</v>
      </c>
      <c r="C11" s="31"/>
      <c r="D11" s="31"/>
      <c r="E11" s="31"/>
      <c r="F11" s="32">
        <f>SUM(F7:F10)</f>
        <v>3328</v>
      </c>
      <c r="G11" s="32">
        <f>SUM(G7:G10)</f>
        <v>332.8</v>
      </c>
      <c r="H11" s="32">
        <f>SUM(H7:H10)</f>
        <v>3660.8</v>
      </c>
      <c r="I11" s="31"/>
      <c r="J11" s="32">
        <f>SUM(J7:J10)</f>
        <v>6101.33333333333</v>
      </c>
      <c r="K11" s="31"/>
      <c r="L11" s="32">
        <f>SUM(L7:L10)</f>
        <v>7016.53333333333</v>
      </c>
      <c r="M11" s="35">
        <f>(L11-H11)/L11</f>
        <v>0.478260869565217</v>
      </c>
    </row>
    <row r="13" ht="18" spans="2:13">
      <c r="B13" s="26" t="s">
        <v>578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</row>
    <row r="14" ht="28" customHeight="1" spans="2:13">
      <c r="B14" s="28" t="s">
        <v>562</v>
      </c>
      <c r="C14" s="28" t="s">
        <v>231</v>
      </c>
      <c r="D14" s="28" t="s">
        <v>563</v>
      </c>
      <c r="E14" s="28" t="s">
        <v>564</v>
      </c>
      <c r="F14" s="28" t="s">
        <v>565</v>
      </c>
      <c r="G14" s="28" t="s">
        <v>566</v>
      </c>
      <c r="H14" s="28" t="s">
        <v>567</v>
      </c>
      <c r="I14" s="28" t="s">
        <v>568</v>
      </c>
      <c r="J14" s="28" t="s">
        <v>569</v>
      </c>
      <c r="K14" s="28" t="s">
        <v>570</v>
      </c>
      <c r="L14" s="28" t="s">
        <v>571</v>
      </c>
      <c r="M14" s="28" t="s">
        <v>572</v>
      </c>
    </row>
    <row r="15" ht="16.5" spans="2:13">
      <c r="B15" s="29" t="s">
        <v>579</v>
      </c>
      <c r="C15" s="12" t="s">
        <v>374</v>
      </c>
      <c r="D15" s="13">
        <v>20</v>
      </c>
      <c r="E15" s="14">
        <v>12</v>
      </c>
      <c r="F15" s="15">
        <f>D15*E15</f>
        <v>240</v>
      </c>
      <c r="G15" s="15">
        <f>F15*0.1</f>
        <v>24</v>
      </c>
      <c r="H15" s="15">
        <f>F15+G15</f>
        <v>264</v>
      </c>
      <c r="I15" s="33">
        <v>0.45</v>
      </c>
      <c r="J15" s="15">
        <f>H15/(1-I15)</f>
        <v>480</v>
      </c>
      <c r="K15" s="33">
        <v>0.2</v>
      </c>
      <c r="L15" s="15">
        <f>J15*(1+K15)</f>
        <v>576</v>
      </c>
      <c r="M15" s="34">
        <f t="shared" ref="M15:M20" si="0">(L15-H15)/L15</f>
        <v>0.541666666666667</v>
      </c>
    </row>
    <row r="16" ht="16.5" spans="2:13">
      <c r="B16" s="29" t="s">
        <v>580</v>
      </c>
      <c r="C16" s="12" t="s">
        <v>383</v>
      </c>
      <c r="D16" s="13">
        <v>10</v>
      </c>
      <c r="E16" s="14">
        <v>14</v>
      </c>
      <c r="F16" s="15">
        <f>D16*E16</f>
        <v>140</v>
      </c>
      <c r="G16" s="15">
        <f>F16*0.1</f>
        <v>14</v>
      </c>
      <c r="H16" s="15">
        <f>F16+G16</f>
        <v>154</v>
      </c>
      <c r="I16" s="33">
        <v>0.45</v>
      </c>
      <c r="J16" s="15">
        <f>H16/(1-I16)</f>
        <v>280</v>
      </c>
      <c r="K16" s="33">
        <v>0.2</v>
      </c>
      <c r="L16" s="15">
        <f>J16*(1+K16)</f>
        <v>336</v>
      </c>
      <c r="M16" s="34">
        <f t="shared" si="0"/>
        <v>0.541666666666667</v>
      </c>
    </row>
    <row r="17" ht="16.5" spans="2:13">
      <c r="B17" s="29" t="s">
        <v>581</v>
      </c>
      <c r="C17" s="12" t="s">
        <v>390</v>
      </c>
      <c r="D17" s="13">
        <v>5</v>
      </c>
      <c r="E17" s="14">
        <v>20</v>
      </c>
      <c r="F17" s="15">
        <f>D17*E17</f>
        <v>100</v>
      </c>
      <c r="G17" s="15">
        <f>F17*0.1</f>
        <v>10</v>
      </c>
      <c r="H17" s="15">
        <f>F17+G17</f>
        <v>110</v>
      </c>
      <c r="I17" s="33">
        <v>0.45</v>
      </c>
      <c r="J17" s="15">
        <f>H17/(1-I17)</f>
        <v>200</v>
      </c>
      <c r="K17" s="33">
        <v>0.2</v>
      </c>
      <c r="L17" s="15">
        <f>J17*(1+K17)</f>
        <v>240</v>
      </c>
      <c r="M17" s="34">
        <f t="shared" si="0"/>
        <v>0.541666666666667</v>
      </c>
    </row>
    <row r="18" ht="16.5" spans="2:13">
      <c r="B18" s="29" t="s">
        <v>582</v>
      </c>
      <c r="C18" s="12" t="s">
        <v>461</v>
      </c>
      <c r="D18" s="13">
        <v>20</v>
      </c>
      <c r="E18" s="14">
        <v>3.5</v>
      </c>
      <c r="F18" s="15">
        <f>D18*E18</f>
        <v>70</v>
      </c>
      <c r="G18" s="15">
        <f>F18*0.1</f>
        <v>7</v>
      </c>
      <c r="H18" s="15">
        <f>F18+G18</f>
        <v>77</v>
      </c>
      <c r="I18" s="33">
        <v>0.45</v>
      </c>
      <c r="J18" s="15">
        <f>H18/(1-I18)</f>
        <v>140</v>
      </c>
      <c r="K18" s="33">
        <v>0.2</v>
      </c>
      <c r="L18" s="15">
        <f>J18*(1+K18)</f>
        <v>168</v>
      </c>
      <c r="M18" s="34">
        <f t="shared" si="0"/>
        <v>0.541666666666667</v>
      </c>
    </row>
    <row r="19" ht="16.5" spans="2:13">
      <c r="B19" s="29" t="s">
        <v>583</v>
      </c>
      <c r="C19" s="12" t="s">
        <v>525</v>
      </c>
      <c r="D19" s="13">
        <v>1</v>
      </c>
      <c r="E19" s="14">
        <v>70</v>
      </c>
      <c r="F19" s="15">
        <f>D19*E19</f>
        <v>70</v>
      </c>
      <c r="G19" s="15">
        <f>F19*0.1</f>
        <v>7</v>
      </c>
      <c r="H19" s="15">
        <f>F19+G19</f>
        <v>77</v>
      </c>
      <c r="I19" s="33">
        <v>0.45</v>
      </c>
      <c r="J19" s="15">
        <f>H19/(1-I19)</f>
        <v>140</v>
      </c>
      <c r="K19" s="33">
        <v>0.2</v>
      </c>
      <c r="L19" s="15">
        <f>J19*(1+K19)</f>
        <v>168</v>
      </c>
      <c r="M19" s="34">
        <f t="shared" si="0"/>
        <v>0.541666666666667</v>
      </c>
    </row>
    <row r="20" ht="16.5" spans="2:13">
      <c r="B20" s="30" t="s">
        <v>577</v>
      </c>
      <c r="C20" s="31"/>
      <c r="D20" s="31"/>
      <c r="E20" s="31"/>
      <c r="F20" s="32">
        <f>SUM(F15:F19)</f>
        <v>620</v>
      </c>
      <c r="G20" s="32">
        <f>SUM(G15:G19)</f>
        <v>62</v>
      </c>
      <c r="H20" s="32">
        <f>SUM(H15:H19)</f>
        <v>682</v>
      </c>
      <c r="I20" s="31"/>
      <c r="J20" s="32">
        <f>SUM(J15:J19)</f>
        <v>1240</v>
      </c>
      <c r="K20" s="31"/>
      <c r="L20" s="32">
        <f>SUM(L15:L19)</f>
        <v>1488</v>
      </c>
      <c r="M20" s="35">
        <f t="shared" si="0"/>
        <v>0.541666666666667</v>
      </c>
    </row>
    <row r="22" ht="18" spans="2:13">
      <c r="B22" s="26" t="s">
        <v>584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</row>
    <row r="23" ht="28" customHeight="1" spans="2:13">
      <c r="B23" s="28" t="s">
        <v>562</v>
      </c>
      <c r="C23" s="28" t="s">
        <v>231</v>
      </c>
      <c r="D23" s="28" t="s">
        <v>563</v>
      </c>
      <c r="E23" s="28" t="s">
        <v>564</v>
      </c>
      <c r="F23" s="28" t="s">
        <v>565</v>
      </c>
      <c r="G23" s="28" t="s">
        <v>566</v>
      </c>
      <c r="H23" s="28" t="s">
        <v>567</v>
      </c>
      <c r="I23" s="28" t="s">
        <v>568</v>
      </c>
      <c r="J23" s="28" t="s">
        <v>569</v>
      </c>
      <c r="K23" s="28" t="s">
        <v>570</v>
      </c>
      <c r="L23" s="28" t="s">
        <v>571</v>
      </c>
      <c r="M23" s="28" t="s">
        <v>572</v>
      </c>
    </row>
    <row r="24" ht="16.5" spans="2:13">
      <c r="B24" s="29" t="s">
        <v>321</v>
      </c>
      <c r="C24" s="12" t="s">
        <v>320</v>
      </c>
      <c r="D24" s="13">
        <v>1</v>
      </c>
      <c r="E24" s="14">
        <v>600</v>
      </c>
      <c r="F24" s="15">
        <f>D24*E24</f>
        <v>600</v>
      </c>
      <c r="G24" s="15">
        <f>F24*0.1</f>
        <v>60</v>
      </c>
      <c r="H24" s="15">
        <f>F24+G24</f>
        <v>660</v>
      </c>
      <c r="I24" s="33">
        <v>0.5</v>
      </c>
      <c r="J24" s="15">
        <f>H24/(1-I24)</f>
        <v>1320</v>
      </c>
      <c r="K24" s="33">
        <v>0.18</v>
      </c>
      <c r="L24" s="15">
        <f>J24*(1+K24)</f>
        <v>1557.6</v>
      </c>
      <c r="M24" s="34">
        <f>(L24-H24)/L24</f>
        <v>0.576271186440678</v>
      </c>
    </row>
    <row r="25" ht="16.5" spans="2:13">
      <c r="B25" s="29" t="s">
        <v>585</v>
      </c>
      <c r="C25" s="12" t="s">
        <v>344</v>
      </c>
      <c r="D25" s="13">
        <v>1</v>
      </c>
      <c r="E25" s="14">
        <v>110</v>
      </c>
      <c r="F25" s="15">
        <f>D25*E25</f>
        <v>110</v>
      </c>
      <c r="G25" s="15">
        <f>F25*0.1</f>
        <v>11</v>
      </c>
      <c r="H25" s="15">
        <f>F25+G25</f>
        <v>121</v>
      </c>
      <c r="I25" s="33">
        <v>0.5</v>
      </c>
      <c r="J25" s="15">
        <f>H25/(1-I25)</f>
        <v>242</v>
      </c>
      <c r="K25" s="33">
        <v>0.18</v>
      </c>
      <c r="L25" s="15">
        <f>J25*(1+K25)</f>
        <v>285.56</v>
      </c>
      <c r="M25" s="34">
        <f>(L25-H25)/L25</f>
        <v>0.576271186440678</v>
      </c>
    </row>
    <row r="26" ht="16.5" spans="2:13">
      <c r="B26" s="29" t="s">
        <v>539</v>
      </c>
      <c r="C26" s="12" t="s">
        <v>538</v>
      </c>
      <c r="D26" s="13">
        <v>1</v>
      </c>
      <c r="E26" s="14">
        <v>45</v>
      </c>
      <c r="F26" s="15">
        <f>D26*E26</f>
        <v>45</v>
      </c>
      <c r="G26" s="15">
        <f>F26*0.1</f>
        <v>4.5</v>
      </c>
      <c r="H26" s="15">
        <f>F26+G26</f>
        <v>49.5</v>
      </c>
      <c r="I26" s="33">
        <v>0.5</v>
      </c>
      <c r="J26" s="15">
        <f>H26/(1-I26)</f>
        <v>99</v>
      </c>
      <c r="K26" s="33">
        <v>0.18</v>
      </c>
      <c r="L26" s="15">
        <f>J26*(1+K26)</f>
        <v>116.82</v>
      </c>
      <c r="M26" s="34">
        <f>(L26-H26)/L26</f>
        <v>0.576271186440678</v>
      </c>
    </row>
    <row r="27" ht="16.5" spans="2:13">
      <c r="B27" s="29" t="s">
        <v>586</v>
      </c>
      <c r="C27" s="12" t="s">
        <v>454</v>
      </c>
      <c r="D27" s="13">
        <v>2</v>
      </c>
      <c r="E27" s="14">
        <v>25</v>
      </c>
      <c r="F27" s="15">
        <f>D27*E27</f>
        <v>50</v>
      </c>
      <c r="G27" s="15">
        <f>F27*0.1</f>
        <v>5</v>
      </c>
      <c r="H27" s="15">
        <f>F27+G27</f>
        <v>55</v>
      </c>
      <c r="I27" s="33">
        <v>0.5</v>
      </c>
      <c r="J27" s="15">
        <f>H27/(1-I27)</f>
        <v>110</v>
      </c>
      <c r="K27" s="33">
        <v>0.18</v>
      </c>
      <c r="L27" s="15">
        <f>J27*(1+K27)</f>
        <v>129.8</v>
      </c>
      <c r="M27" s="34">
        <f>(L27-H27)/L27</f>
        <v>0.576271186440678</v>
      </c>
    </row>
    <row r="28" ht="16.5" spans="2:13">
      <c r="B28" s="30" t="s">
        <v>577</v>
      </c>
      <c r="C28" s="31"/>
      <c r="D28" s="31"/>
      <c r="E28" s="31"/>
      <c r="F28" s="32">
        <f>SUM(F24:F27)</f>
        <v>805</v>
      </c>
      <c r="G28" s="32">
        <f>SUM(G24:G27)</f>
        <v>80.5</v>
      </c>
      <c r="H28" s="32">
        <f>SUM(H24:H27)</f>
        <v>885.5</v>
      </c>
      <c r="I28" s="31"/>
      <c r="J28" s="32">
        <f>SUM(J24:J27)</f>
        <v>1771</v>
      </c>
      <c r="K28" s="31"/>
      <c r="L28" s="32">
        <f>SUM(L24:L27)</f>
        <v>2089.78</v>
      </c>
      <c r="M28" s="35">
        <f>(L28-H28)/L28</f>
        <v>0.576271186440678</v>
      </c>
    </row>
    <row r="30" ht="14.25" spans="2:2">
      <c r="B30" s="7" t="s">
        <v>587</v>
      </c>
    </row>
  </sheetData>
  <mergeCells count="6">
    <mergeCell ref="B2:M2"/>
    <mergeCell ref="B3:M3"/>
    <mergeCell ref="B5:M5"/>
    <mergeCell ref="B13:M13"/>
    <mergeCell ref="B22:M22"/>
    <mergeCell ref="B30:M30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showGridLines="0" workbookViewId="0">
      <pane ySplit="12" topLeftCell="A13" activePane="bottomLeft" state="frozen"/>
      <selection/>
      <selection pane="bottomLeft" activeCell="A1" sqref="A1:H1"/>
    </sheetView>
  </sheetViews>
  <sheetFormatPr defaultColWidth="9" defaultRowHeight="13.5" outlineLevelCol="7"/>
  <cols>
    <col min="1" max="1" width="6" customWidth="1"/>
    <col min="2" max="2" width="30" customWidth="1"/>
    <col min="3" max="3" width="28" customWidth="1"/>
    <col min="4" max="5" width="8" customWidth="1"/>
    <col min="6" max="6" width="14" customWidth="1"/>
    <col min="7" max="7" width="16" customWidth="1"/>
    <col min="8" max="8" width="22" customWidth="1"/>
  </cols>
  <sheetData>
    <row r="1" ht="34" customHeight="1" spans="1:8">
      <c r="A1" s="9" t="s">
        <v>588</v>
      </c>
      <c r="B1" s="2"/>
      <c r="C1" s="2"/>
      <c r="D1" s="2"/>
      <c r="E1" s="2"/>
      <c r="F1" s="2"/>
      <c r="G1" s="2"/>
      <c r="H1" s="2"/>
    </row>
    <row r="3" ht="16.5" spans="1:6">
      <c r="A3" s="10" t="s">
        <v>589</v>
      </c>
      <c r="B3" s="11" t="s">
        <v>590</v>
      </c>
      <c r="E3" s="10" t="s">
        <v>591</v>
      </c>
      <c r="F3" s="11" t="s">
        <v>592</v>
      </c>
    </row>
    <row r="4" ht="16.5" spans="1:6">
      <c r="A4" s="10" t="s">
        <v>593</v>
      </c>
      <c r="B4" s="11" t="s">
        <v>594</v>
      </c>
      <c r="E4" s="10" t="s">
        <v>595</v>
      </c>
      <c r="F4" s="11" t="s">
        <v>596</v>
      </c>
    </row>
    <row r="5" ht="16.5" spans="1:6">
      <c r="A5" s="10" t="s">
        <v>597</v>
      </c>
      <c r="B5" s="11" t="s">
        <v>598</v>
      </c>
      <c r="E5" s="10" t="s">
        <v>599</v>
      </c>
      <c r="F5" s="11" t="s">
        <v>600</v>
      </c>
    </row>
    <row r="6" ht="16.5" spans="1:6">
      <c r="A6" s="10" t="s">
        <v>601</v>
      </c>
      <c r="B6" s="11" t="s">
        <v>602</v>
      </c>
      <c r="E6" s="10" t="s">
        <v>603</v>
      </c>
      <c r="F6" s="11" t="s">
        <v>604</v>
      </c>
    </row>
    <row r="8" ht="16.5" spans="1:2">
      <c r="A8" s="10" t="s">
        <v>605</v>
      </c>
      <c r="B8" s="11" t="s">
        <v>606</v>
      </c>
    </row>
    <row r="9" ht="16.5" spans="1:2">
      <c r="A9" s="10" t="s">
        <v>607</v>
      </c>
      <c r="B9" s="11" t="s">
        <v>608</v>
      </c>
    </row>
    <row r="10" ht="16.5" spans="1:2">
      <c r="A10" s="10" t="s">
        <v>609</v>
      </c>
      <c r="B10" s="11" t="s">
        <v>610</v>
      </c>
    </row>
    <row r="12" ht="32" customHeight="1" spans="1:8">
      <c r="A12" s="3" t="s">
        <v>611</v>
      </c>
      <c r="B12" s="3" t="s">
        <v>612</v>
      </c>
      <c r="C12" s="3" t="s">
        <v>613</v>
      </c>
      <c r="D12" s="3" t="s">
        <v>614</v>
      </c>
      <c r="E12" s="3" t="s">
        <v>615</v>
      </c>
      <c r="F12" s="3" t="s">
        <v>616</v>
      </c>
      <c r="G12" s="3" t="s">
        <v>617</v>
      </c>
      <c r="H12" s="3" t="s">
        <v>618</v>
      </c>
    </row>
    <row r="13" ht="16.5" spans="1:8">
      <c r="A13" s="12">
        <v>1</v>
      </c>
      <c r="B13" s="5" t="s">
        <v>619</v>
      </c>
      <c r="C13" s="5" t="s">
        <v>620</v>
      </c>
      <c r="D13" s="13">
        <v>1</v>
      </c>
      <c r="E13" s="12" t="s">
        <v>621</v>
      </c>
      <c r="F13" s="14">
        <v>2530</v>
      </c>
      <c r="G13" s="15">
        <f>D13*F13</f>
        <v>2530</v>
      </c>
      <c r="H13" s="16" t="s">
        <v>622</v>
      </c>
    </row>
    <row r="14" ht="16.5" spans="1:8">
      <c r="A14" s="12">
        <v>2</v>
      </c>
      <c r="B14" s="5" t="s">
        <v>623</v>
      </c>
      <c r="C14" s="5" t="s">
        <v>624</v>
      </c>
      <c r="D14" s="13">
        <v>2</v>
      </c>
      <c r="E14" s="12" t="s">
        <v>621</v>
      </c>
      <c r="F14" s="14">
        <v>2108.33</v>
      </c>
      <c r="G14" s="15">
        <f>D14*F14</f>
        <v>4216.66</v>
      </c>
      <c r="H14" s="16" t="s">
        <v>622</v>
      </c>
    </row>
    <row r="15" ht="16.5" spans="1:8">
      <c r="A15" s="12">
        <v>3</v>
      </c>
      <c r="B15" s="5" t="s">
        <v>625</v>
      </c>
      <c r="C15" s="5" t="s">
        <v>626</v>
      </c>
      <c r="D15" s="13">
        <v>4</v>
      </c>
      <c r="E15" s="12" t="s">
        <v>621</v>
      </c>
      <c r="F15" s="14">
        <v>25.3</v>
      </c>
      <c r="G15" s="15">
        <f>D15*F15</f>
        <v>101.2</v>
      </c>
      <c r="H15" s="16" t="s">
        <v>622</v>
      </c>
    </row>
    <row r="16" ht="16.5" spans="1:8">
      <c r="A16" s="12">
        <v>4</v>
      </c>
      <c r="B16" s="5" t="s">
        <v>627</v>
      </c>
      <c r="C16" s="5" t="s">
        <v>628</v>
      </c>
      <c r="D16" s="13">
        <v>1</v>
      </c>
      <c r="E16" s="12" t="s">
        <v>621</v>
      </c>
      <c r="F16" s="14">
        <v>168.67</v>
      </c>
      <c r="G16" s="15">
        <f>D16*F16</f>
        <v>168.67</v>
      </c>
      <c r="H16" s="16" t="s">
        <v>622</v>
      </c>
    </row>
    <row r="17" spans="1:8">
      <c r="A17" s="17"/>
      <c r="B17" s="17"/>
      <c r="C17" s="17"/>
      <c r="D17" s="17"/>
      <c r="E17" s="17"/>
      <c r="F17" s="18"/>
      <c r="G17" s="18" t="str">
        <f>IF(D17="","",D17*F17)</f>
        <v/>
      </c>
      <c r="H17" s="17"/>
    </row>
    <row r="18" spans="1:8">
      <c r="A18" s="17"/>
      <c r="B18" s="17"/>
      <c r="C18" s="17"/>
      <c r="D18" s="17"/>
      <c r="E18" s="17"/>
      <c r="F18" s="18"/>
      <c r="G18" s="18" t="str">
        <f>IF(D18="","",D18*F18)</f>
        <v/>
      </c>
      <c r="H18" s="17"/>
    </row>
    <row r="19" spans="1:8">
      <c r="A19" s="17"/>
      <c r="B19" s="17"/>
      <c r="C19" s="17"/>
      <c r="D19" s="17"/>
      <c r="E19" s="17"/>
      <c r="F19" s="18"/>
      <c r="G19" s="18" t="str">
        <f>IF(D19="","",D19*F19)</f>
        <v/>
      </c>
      <c r="H19" s="17"/>
    </row>
    <row r="20" ht="16.5" spans="1:8">
      <c r="A20" s="19" t="s">
        <v>629</v>
      </c>
      <c r="B20" s="17"/>
      <c r="C20" s="17"/>
      <c r="D20" s="17"/>
      <c r="E20" s="17"/>
      <c r="F20" s="17"/>
      <c r="G20" s="20">
        <f>SUM(G13:G19)</f>
        <v>7016.53</v>
      </c>
      <c r="H20" s="17"/>
    </row>
    <row r="21" ht="16.5" spans="1:8">
      <c r="A21" s="21" t="s">
        <v>630</v>
      </c>
      <c r="B21" s="17"/>
      <c r="C21" s="17"/>
      <c r="D21" s="17"/>
      <c r="E21" s="17"/>
      <c r="F21" s="17"/>
      <c r="G21" s="22">
        <v>0</v>
      </c>
      <c r="H21" s="17"/>
    </row>
    <row r="22" ht="16.5" spans="1:8">
      <c r="A22" s="21" t="s">
        <v>631</v>
      </c>
      <c r="B22" s="17"/>
      <c r="C22" s="17"/>
      <c r="D22" s="17"/>
      <c r="E22" s="17"/>
      <c r="F22" s="17"/>
      <c r="G22" s="22">
        <v>0</v>
      </c>
      <c r="H22" s="17"/>
    </row>
    <row r="23" ht="16.5" spans="1:8">
      <c r="A23" s="19" t="s">
        <v>632</v>
      </c>
      <c r="B23" s="17"/>
      <c r="C23" s="17"/>
      <c r="D23" s="17"/>
      <c r="E23" s="17"/>
      <c r="F23" s="17"/>
      <c r="G23" s="23">
        <f>G20+G21-G22</f>
        <v>7016.53</v>
      </c>
      <c r="H23" s="17"/>
    </row>
    <row r="25" ht="18" spans="1:1">
      <c r="A25" s="24" t="s">
        <v>633</v>
      </c>
    </row>
    <row r="26" ht="16.5" spans="1:1">
      <c r="A26" s="25" t="s">
        <v>634</v>
      </c>
    </row>
    <row r="27" ht="16.5" spans="1:1">
      <c r="A27" s="25" t="s">
        <v>635</v>
      </c>
    </row>
    <row r="28" ht="16.5" spans="1:1">
      <c r="A28" s="25" t="s">
        <v>636</v>
      </c>
    </row>
    <row r="29" ht="16.5" spans="1:1">
      <c r="A29" s="25" t="s">
        <v>637</v>
      </c>
    </row>
    <row r="30" ht="16.5" spans="1:1">
      <c r="A30" s="25" t="s">
        <v>638</v>
      </c>
    </row>
    <row r="31" ht="16.5" spans="1:1">
      <c r="A31" s="25" t="s">
        <v>639</v>
      </c>
    </row>
    <row r="32" ht="16.5" spans="1:1">
      <c r="A32" s="25" t="s">
        <v>640</v>
      </c>
    </row>
    <row r="33" ht="16.5" spans="1:1">
      <c r="A33" s="25" t="s">
        <v>641</v>
      </c>
    </row>
  </sheetData>
  <mergeCells count="25">
    <mergeCell ref="A1:H1"/>
    <mergeCell ref="B3:D3"/>
    <mergeCell ref="F3:H3"/>
    <mergeCell ref="B4:D4"/>
    <mergeCell ref="F4:H4"/>
    <mergeCell ref="B5:D5"/>
    <mergeCell ref="F5:H5"/>
    <mergeCell ref="B6:D6"/>
    <mergeCell ref="F6:H6"/>
    <mergeCell ref="B8:H8"/>
    <mergeCell ref="B9:H9"/>
    <mergeCell ref="B10:H10"/>
    <mergeCell ref="A20:F20"/>
    <mergeCell ref="A21:F21"/>
    <mergeCell ref="A22:F22"/>
    <mergeCell ref="A23:F23"/>
    <mergeCell ref="A25:H25"/>
    <mergeCell ref="A26:H26"/>
    <mergeCell ref="A27:H27"/>
    <mergeCell ref="A28:H28"/>
    <mergeCell ref="A29:H29"/>
    <mergeCell ref="A30:H30"/>
    <mergeCell ref="A31:H31"/>
    <mergeCell ref="A32:H32"/>
    <mergeCell ref="A33:H3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showGridLines="0" workbookViewId="0">
      <pane ySplit="2" topLeftCell="A3" activePane="bottomLeft" state="frozen"/>
      <selection/>
      <selection pane="bottomLeft" activeCell="F6" sqref="F6"/>
    </sheetView>
  </sheetViews>
  <sheetFormatPr defaultColWidth="9" defaultRowHeight="13.5" outlineLevelCol="7"/>
  <cols>
    <col min="1" max="2" width="26" customWidth="1"/>
    <col min="3" max="3" width="34" customWidth="1"/>
    <col min="4" max="4" width="40" customWidth="1"/>
    <col min="5" max="5" width="18" customWidth="1"/>
    <col min="6" max="6" width="44" customWidth="1"/>
    <col min="7" max="7" width="30" customWidth="1"/>
    <col min="8" max="8" width="40" customWidth="1"/>
  </cols>
  <sheetData>
    <row r="1" ht="26" customHeight="1" spans="1:8">
      <c r="A1" s="1" t="s">
        <v>642</v>
      </c>
      <c r="B1" s="2"/>
      <c r="C1" s="2"/>
      <c r="D1" s="2"/>
      <c r="E1" s="2"/>
      <c r="F1" s="2"/>
      <c r="G1" s="2"/>
      <c r="H1" s="2"/>
    </row>
    <row r="2" ht="28" customHeight="1" spans="1:8">
      <c r="A2" s="3" t="s">
        <v>31</v>
      </c>
      <c r="B2" s="3" t="s">
        <v>643</v>
      </c>
      <c r="C2" s="3" t="s">
        <v>644</v>
      </c>
      <c r="D2" s="3" t="s">
        <v>645</v>
      </c>
      <c r="E2" s="3" t="s">
        <v>646</v>
      </c>
      <c r="F2" s="3" t="s">
        <v>647</v>
      </c>
      <c r="G2" s="3" t="s">
        <v>648</v>
      </c>
      <c r="H2" s="3" t="s">
        <v>649</v>
      </c>
    </row>
    <row r="3" ht="33" spans="1:8">
      <c r="A3" s="5" t="s">
        <v>40</v>
      </c>
      <c r="B3" s="5" t="s">
        <v>650</v>
      </c>
      <c r="C3" s="5" t="s">
        <v>651</v>
      </c>
      <c r="D3" s="5" t="s">
        <v>652</v>
      </c>
      <c r="E3" s="5" t="s">
        <v>653</v>
      </c>
      <c r="F3" s="5" t="s">
        <v>654</v>
      </c>
      <c r="G3" s="5" t="s">
        <v>655</v>
      </c>
      <c r="H3" s="5" t="s">
        <v>656</v>
      </c>
    </row>
    <row r="4" ht="33" spans="1:8">
      <c r="A4" s="5" t="s">
        <v>49</v>
      </c>
      <c r="B4" s="5" t="s">
        <v>657</v>
      </c>
      <c r="C4" s="5" t="s">
        <v>658</v>
      </c>
      <c r="D4" s="5" t="s">
        <v>659</v>
      </c>
      <c r="E4" s="5" t="s">
        <v>660</v>
      </c>
      <c r="F4" s="5" t="s">
        <v>661</v>
      </c>
      <c r="G4" s="5" t="s">
        <v>662</v>
      </c>
      <c r="H4" s="5" t="s">
        <v>663</v>
      </c>
    </row>
    <row r="5" ht="33" spans="1:8">
      <c r="A5" s="5" t="s">
        <v>58</v>
      </c>
      <c r="B5" s="5" t="s">
        <v>664</v>
      </c>
      <c r="C5" s="5" t="s">
        <v>665</v>
      </c>
      <c r="D5" s="5" t="s">
        <v>666</v>
      </c>
      <c r="E5" s="5" t="s">
        <v>667</v>
      </c>
      <c r="F5" s="5" t="s">
        <v>668</v>
      </c>
      <c r="G5" s="5" t="s">
        <v>669</v>
      </c>
      <c r="H5" s="5" t="s">
        <v>670</v>
      </c>
    </row>
    <row r="6" ht="33" spans="1:8">
      <c r="A6" s="5" t="s">
        <v>66</v>
      </c>
      <c r="B6" s="5" t="s">
        <v>671</v>
      </c>
      <c r="C6" s="5" t="s">
        <v>672</v>
      </c>
      <c r="D6" s="5" t="s">
        <v>673</v>
      </c>
      <c r="E6" s="5" t="s">
        <v>674</v>
      </c>
      <c r="F6" s="5" t="s">
        <v>675</v>
      </c>
      <c r="G6" s="5" t="s">
        <v>676</v>
      </c>
      <c r="H6" s="5" t="s">
        <v>677</v>
      </c>
    </row>
    <row r="7" ht="33" spans="1:8">
      <c r="A7" s="5" t="s">
        <v>74</v>
      </c>
      <c r="B7" s="5" t="s">
        <v>678</v>
      </c>
      <c r="C7" s="5" t="s">
        <v>679</v>
      </c>
      <c r="D7" s="5" t="s">
        <v>680</v>
      </c>
      <c r="E7" s="5" t="s">
        <v>681</v>
      </c>
      <c r="F7" s="5" t="s">
        <v>682</v>
      </c>
      <c r="G7" s="5" t="s">
        <v>683</v>
      </c>
      <c r="H7" s="5" t="s">
        <v>684</v>
      </c>
    </row>
    <row r="8" ht="33" spans="1:8">
      <c r="A8" s="5" t="s">
        <v>83</v>
      </c>
      <c r="B8" s="5" t="s">
        <v>685</v>
      </c>
      <c r="C8" s="5" t="s">
        <v>686</v>
      </c>
      <c r="D8" s="5" t="s">
        <v>687</v>
      </c>
      <c r="E8" s="5" t="s">
        <v>688</v>
      </c>
      <c r="F8" s="5" t="s">
        <v>689</v>
      </c>
      <c r="G8" s="5" t="s">
        <v>690</v>
      </c>
      <c r="H8" s="5" t="s">
        <v>691</v>
      </c>
    </row>
    <row r="9" ht="33" spans="1:8">
      <c r="A9" s="5" t="s">
        <v>90</v>
      </c>
      <c r="B9" s="5" t="s">
        <v>692</v>
      </c>
      <c r="C9" s="5" t="s">
        <v>693</v>
      </c>
      <c r="D9" s="5" t="s">
        <v>694</v>
      </c>
      <c r="E9" s="5" t="s">
        <v>695</v>
      </c>
      <c r="F9" s="5" t="s">
        <v>696</v>
      </c>
      <c r="G9" s="5" t="s">
        <v>697</v>
      </c>
      <c r="H9" s="5" t="s">
        <v>698</v>
      </c>
    </row>
    <row r="10" ht="33" spans="1:8">
      <c r="A10" s="5" t="s">
        <v>98</v>
      </c>
      <c r="B10" s="5" t="s">
        <v>699</v>
      </c>
      <c r="C10" s="5" t="s">
        <v>700</v>
      </c>
      <c r="D10" s="5" t="s">
        <v>701</v>
      </c>
      <c r="E10" s="5" t="s">
        <v>702</v>
      </c>
      <c r="F10" s="5" t="s">
        <v>703</v>
      </c>
      <c r="G10" s="5" t="s">
        <v>704</v>
      </c>
      <c r="H10" s="5" t="s">
        <v>705</v>
      </c>
    </row>
    <row r="11" ht="33" spans="1:8">
      <c r="A11" s="5" t="s">
        <v>104</v>
      </c>
      <c r="B11" s="5" t="s">
        <v>706</v>
      </c>
      <c r="C11" s="5" t="s">
        <v>707</v>
      </c>
      <c r="D11" s="5" t="s">
        <v>708</v>
      </c>
      <c r="E11" s="5" t="s">
        <v>709</v>
      </c>
      <c r="F11" s="5" t="s">
        <v>710</v>
      </c>
      <c r="G11" s="5" t="s">
        <v>711</v>
      </c>
      <c r="H11" s="5" t="s">
        <v>712</v>
      </c>
    </row>
    <row r="12" ht="33" spans="1:8">
      <c r="A12" s="5" t="s">
        <v>111</v>
      </c>
      <c r="B12" s="5" t="s">
        <v>713</v>
      </c>
      <c r="C12" s="5" t="s">
        <v>714</v>
      </c>
      <c r="D12" s="5" t="s">
        <v>715</v>
      </c>
      <c r="E12" s="5" t="s">
        <v>716</v>
      </c>
      <c r="F12" s="5" t="s">
        <v>717</v>
      </c>
      <c r="G12" s="5" t="s">
        <v>718</v>
      </c>
      <c r="H12" s="5" t="s">
        <v>719</v>
      </c>
    </row>
    <row r="13" ht="33" spans="1:8">
      <c r="A13" s="5" t="s">
        <v>118</v>
      </c>
      <c r="B13" s="5" t="s">
        <v>720</v>
      </c>
      <c r="C13" s="5" t="s">
        <v>721</v>
      </c>
      <c r="D13" s="5" t="s">
        <v>722</v>
      </c>
      <c r="E13" s="5" t="s">
        <v>723</v>
      </c>
      <c r="F13" s="5" t="s">
        <v>724</v>
      </c>
      <c r="G13" s="5" t="s">
        <v>725</v>
      </c>
      <c r="H13" s="5" t="s">
        <v>726</v>
      </c>
    </row>
    <row r="14" ht="33" spans="1:8">
      <c r="A14" s="5" t="s">
        <v>124</v>
      </c>
      <c r="B14" s="5" t="s">
        <v>727</v>
      </c>
      <c r="C14" s="5" t="s">
        <v>728</v>
      </c>
      <c r="D14" s="5" t="s">
        <v>729</v>
      </c>
      <c r="E14" s="5" t="s">
        <v>730</v>
      </c>
      <c r="F14" s="5" t="s">
        <v>731</v>
      </c>
      <c r="G14" s="5" t="s">
        <v>732</v>
      </c>
      <c r="H14" s="5" t="s">
        <v>733</v>
      </c>
    </row>
    <row r="15" ht="33" spans="1:8">
      <c r="A15" s="5" t="s">
        <v>130</v>
      </c>
      <c r="B15" s="5" t="s">
        <v>734</v>
      </c>
      <c r="C15" s="5" t="s">
        <v>735</v>
      </c>
      <c r="D15" s="5" t="s">
        <v>736</v>
      </c>
      <c r="E15" s="5" t="s">
        <v>737</v>
      </c>
      <c r="F15" s="5" t="s">
        <v>738</v>
      </c>
      <c r="G15" s="5" t="s">
        <v>739</v>
      </c>
      <c r="H15" s="5" t="s">
        <v>740</v>
      </c>
    </row>
    <row r="16" ht="33" spans="1:8">
      <c r="A16" s="5" t="s">
        <v>137</v>
      </c>
      <c r="B16" s="5" t="s">
        <v>741</v>
      </c>
      <c r="C16" s="5" t="s">
        <v>742</v>
      </c>
      <c r="D16" s="5" t="s">
        <v>743</v>
      </c>
      <c r="E16" s="5" t="s">
        <v>744</v>
      </c>
      <c r="F16" s="5" t="s">
        <v>745</v>
      </c>
      <c r="G16" s="5" t="s">
        <v>746</v>
      </c>
      <c r="H16" s="5" t="s">
        <v>747</v>
      </c>
    </row>
    <row r="17" ht="33" spans="1:8">
      <c r="A17" s="5" t="s">
        <v>143</v>
      </c>
      <c r="B17" s="5" t="s">
        <v>748</v>
      </c>
      <c r="C17" s="5" t="s">
        <v>749</v>
      </c>
      <c r="D17" s="5" t="s">
        <v>750</v>
      </c>
      <c r="E17" s="5" t="s">
        <v>751</v>
      </c>
      <c r="F17" s="5" t="s">
        <v>752</v>
      </c>
      <c r="G17" s="5" t="s">
        <v>753</v>
      </c>
      <c r="H17" s="5" t="s">
        <v>754</v>
      </c>
    </row>
    <row r="18" ht="33" spans="1:8">
      <c r="A18" s="5" t="s">
        <v>149</v>
      </c>
      <c r="B18" s="5" t="s">
        <v>755</v>
      </c>
      <c r="C18" s="5" t="s">
        <v>756</v>
      </c>
      <c r="D18" s="5" t="s">
        <v>757</v>
      </c>
      <c r="E18" s="5" t="s">
        <v>758</v>
      </c>
      <c r="F18" s="5" t="s">
        <v>759</v>
      </c>
      <c r="G18" s="5" t="s">
        <v>760</v>
      </c>
      <c r="H18" s="5" t="s">
        <v>761</v>
      </c>
    </row>
    <row r="19" ht="33" spans="1:8">
      <c r="A19" s="5" t="s">
        <v>156</v>
      </c>
      <c r="B19" s="5" t="s">
        <v>762</v>
      </c>
      <c r="C19" s="5" t="s">
        <v>763</v>
      </c>
      <c r="D19" s="5" t="s">
        <v>764</v>
      </c>
      <c r="E19" s="5" t="s">
        <v>765</v>
      </c>
      <c r="F19" s="5" t="s">
        <v>766</v>
      </c>
      <c r="G19" s="5" t="s">
        <v>767</v>
      </c>
      <c r="H19" s="5" t="s">
        <v>768</v>
      </c>
    </row>
    <row r="20" ht="33" spans="1:8">
      <c r="A20" s="5" t="s">
        <v>163</v>
      </c>
      <c r="B20" s="5" t="s">
        <v>769</v>
      </c>
      <c r="C20" s="5" t="s">
        <v>770</v>
      </c>
      <c r="D20" s="5" t="s">
        <v>771</v>
      </c>
      <c r="E20" s="5" t="s">
        <v>772</v>
      </c>
      <c r="F20" s="5" t="s">
        <v>773</v>
      </c>
      <c r="G20" s="5" t="s">
        <v>774</v>
      </c>
      <c r="H20" s="5" t="s">
        <v>775</v>
      </c>
    </row>
    <row r="21" ht="33" spans="1:8">
      <c r="A21" s="5" t="s">
        <v>171</v>
      </c>
      <c r="B21" s="5" t="s">
        <v>776</v>
      </c>
      <c r="C21" s="5" t="s">
        <v>777</v>
      </c>
      <c r="D21" s="5" t="s">
        <v>778</v>
      </c>
      <c r="E21" s="5" t="s">
        <v>779</v>
      </c>
      <c r="F21" s="5" t="s">
        <v>780</v>
      </c>
      <c r="G21" s="5" t="s">
        <v>781</v>
      </c>
      <c r="H21" s="5" t="s">
        <v>782</v>
      </c>
    </row>
    <row r="22" ht="33" spans="1:8">
      <c r="A22" s="5" t="s">
        <v>178</v>
      </c>
      <c r="B22" s="5" t="s">
        <v>783</v>
      </c>
      <c r="C22" s="5" t="s">
        <v>784</v>
      </c>
      <c r="D22" s="5" t="s">
        <v>785</v>
      </c>
      <c r="E22" s="5" t="s">
        <v>786</v>
      </c>
      <c r="F22" s="5" t="s">
        <v>787</v>
      </c>
      <c r="G22" s="5" t="s">
        <v>788</v>
      </c>
      <c r="H22" s="5" t="s">
        <v>789</v>
      </c>
    </row>
    <row r="23" ht="33" spans="1:8">
      <c r="A23" s="5" t="s">
        <v>184</v>
      </c>
      <c r="B23" s="5" t="s">
        <v>790</v>
      </c>
      <c r="C23" s="5" t="s">
        <v>791</v>
      </c>
      <c r="D23" s="5" t="s">
        <v>792</v>
      </c>
      <c r="E23" s="5" t="s">
        <v>793</v>
      </c>
      <c r="F23" s="5" t="s">
        <v>794</v>
      </c>
      <c r="G23" s="5" t="s">
        <v>795</v>
      </c>
      <c r="H23" s="5" t="s">
        <v>796</v>
      </c>
    </row>
    <row r="24" ht="33" spans="1:8">
      <c r="A24" s="5" t="s">
        <v>191</v>
      </c>
      <c r="B24" s="5" t="s">
        <v>797</v>
      </c>
      <c r="C24" s="5" t="s">
        <v>798</v>
      </c>
      <c r="D24" s="5" t="s">
        <v>799</v>
      </c>
      <c r="E24" s="5" t="s">
        <v>800</v>
      </c>
      <c r="F24" s="5" t="s">
        <v>801</v>
      </c>
      <c r="G24" s="5" t="s">
        <v>802</v>
      </c>
      <c r="H24" s="5" t="s">
        <v>803</v>
      </c>
    </row>
    <row r="25" ht="33" spans="1:8">
      <c r="A25" s="5" t="s">
        <v>197</v>
      </c>
      <c r="B25" s="5" t="s">
        <v>804</v>
      </c>
      <c r="C25" s="5" t="s">
        <v>805</v>
      </c>
      <c r="D25" s="5" t="s">
        <v>806</v>
      </c>
      <c r="E25" s="5" t="s">
        <v>807</v>
      </c>
      <c r="F25" s="5" t="s">
        <v>808</v>
      </c>
      <c r="G25" s="5" t="s">
        <v>809</v>
      </c>
      <c r="H25" s="5" t="s">
        <v>810</v>
      </c>
    </row>
    <row r="26" ht="33" spans="1:8">
      <c r="A26" s="5" t="s">
        <v>204</v>
      </c>
      <c r="B26" s="5" t="s">
        <v>811</v>
      </c>
      <c r="C26" s="5" t="s">
        <v>812</v>
      </c>
      <c r="D26" s="5" t="s">
        <v>813</v>
      </c>
      <c r="E26" s="5" t="s">
        <v>814</v>
      </c>
      <c r="F26" s="5" t="s">
        <v>815</v>
      </c>
      <c r="G26" s="5" t="s">
        <v>816</v>
      </c>
      <c r="H26" s="5" t="s">
        <v>817</v>
      </c>
    </row>
    <row r="27" ht="33" spans="1:8">
      <c r="A27" s="5" t="s">
        <v>211</v>
      </c>
      <c r="B27" s="5" t="s">
        <v>818</v>
      </c>
      <c r="C27" s="5" t="s">
        <v>819</v>
      </c>
      <c r="D27" s="5" t="s">
        <v>820</v>
      </c>
      <c r="E27" s="5" t="s">
        <v>821</v>
      </c>
      <c r="F27" s="5" t="s">
        <v>822</v>
      </c>
      <c r="G27" s="5" t="s">
        <v>823</v>
      </c>
      <c r="H27" s="5" t="s">
        <v>824</v>
      </c>
    </row>
    <row r="28" ht="33" spans="1:8">
      <c r="A28" s="5" t="s">
        <v>218</v>
      </c>
      <c r="B28" s="5" t="s">
        <v>825</v>
      </c>
      <c r="C28" s="5" t="s">
        <v>826</v>
      </c>
      <c r="D28" s="5" t="s">
        <v>827</v>
      </c>
      <c r="E28" s="5" t="s">
        <v>828</v>
      </c>
      <c r="F28" s="5" t="s">
        <v>829</v>
      </c>
      <c r="G28" s="5" t="s">
        <v>830</v>
      </c>
      <c r="H28" s="5" t="s">
        <v>831</v>
      </c>
    </row>
    <row r="29" ht="33" spans="1:8">
      <c r="A29" s="5" t="s">
        <v>224</v>
      </c>
      <c r="B29" s="5" t="s">
        <v>832</v>
      </c>
      <c r="C29" s="5" t="s">
        <v>833</v>
      </c>
      <c r="D29" s="5" t="s">
        <v>834</v>
      </c>
      <c r="E29" s="5" t="s">
        <v>835</v>
      </c>
      <c r="F29" s="5" t="s">
        <v>836</v>
      </c>
      <c r="G29" s="5" t="s">
        <v>837</v>
      </c>
      <c r="H29" s="5" t="s">
        <v>838</v>
      </c>
    </row>
    <row r="31" ht="14.25" spans="1:1">
      <c r="A31" s="8" t="s">
        <v>839</v>
      </c>
    </row>
  </sheetData>
  <mergeCells count="2">
    <mergeCell ref="A1:H1"/>
    <mergeCell ref="A31:H3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showGridLines="0" topLeftCell="A11" workbookViewId="0">
      <selection activeCell="A1" sqref="A1:E1"/>
    </sheetView>
  </sheetViews>
  <sheetFormatPr defaultColWidth="9" defaultRowHeight="13.5" outlineLevelCol="6"/>
  <cols>
    <col min="1" max="1" width="22" customWidth="1"/>
    <col min="2" max="3" width="30" customWidth="1"/>
    <col min="4" max="4" width="34" customWidth="1"/>
    <col min="5" max="5" width="36" customWidth="1"/>
    <col min="6" max="6" width="18" customWidth="1"/>
    <col min="7" max="7" width="28" customWidth="1"/>
  </cols>
  <sheetData>
    <row r="1" ht="26" customHeight="1" spans="1:5">
      <c r="A1" s="1" t="s">
        <v>840</v>
      </c>
      <c r="B1" s="2"/>
      <c r="C1" s="2"/>
      <c r="D1" s="2"/>
      <c r="E1" s="2"/>
    </row>
    <row r="2" ht="28" customHeight="1" spans="1:5">
      <c r="A2" s="3" t="s">
        <v>841</v>
      </c>
      <c r="B2" s="3" t="s">
        <v>842</v>
      </c>
      <c r="C2" s="3" t="s">
        <v>843</v>
      </c>
      <c r="D2" s="3" t="s">
        <v>844</v>
      </c>
      <c r="E2" s="3" t="s">
        <v>845</v>
      </c>
    </row>
    <row r="3" ht="33" spans="1:5">
      <c r="A3" s="4" t="s">
        <v>846</v>
      </c>
      <c r="B3" s="5" t="s">
        <v>847</v>
      </c>
      <c r="C3" s="5" t="s">
        <v>848</v>
      </c>
      <c r="D3" s="5" t="s">
        <v>849</v>
      </c>
      <c r="E3" s="5" t="s">
        <v>850</v>
      </c>
    </row>
    <row r="4" ht="16.5" spans="1:5">
      <c r="A4" s="4" t="s">
        <v>851</v>
      </c>
      <c r="B4" s="5" t="s">
        <v>852</v>
      </c>
      <c r="C4" s="5" t="s">
        <v>853</v>
      </c>
      <c r="D4" s="5" t="s">
        <v>854</v>
      </c>
      <c r="E4" s="5" t="s">
        <v>855</v>
      </c>
    </row>
    <row r="5" ht="16.5" spans="1:5">
      <c r="A5" s="4" t="s">
        <v>856</v>
      </c>
      <c r="B5" s="5" t="s">
        <v>857</v>
      </c>
      <c r="C5" s="5" t="s">
        <v>858</v>
      </c>
      <c r="D5" s="5" t="s">
        <v>859</v>
      </c>
      <c r="E5" s="5" t="s">
        <v>860</v>
      </c>
    </row>
    <row r="6" ht="16.5" spans="1:5">
      <c r="A6" s="4" t="s">
        <v>861</v>
      </c>
      <c r="B6" s="5" t="s">
        <v>862</v>
      </c>
      <c r="C6" s="5" t="s">
        <v>863</v>
      </c>
      <c r="D6" s="5" t="s">
        <v>864</v>
      </c>
      <c r="E6" s="5" t="s">
        <v>865</v>
      </c>
    </row>
    <row r="7" ht="16.5" spans="1:5">
      <c r="A7" s="4" t="s">
        <v>866</v>
      </c>
      <c r="B7" s="5" t="s">
        <v>867</v>
      </c>
      <c r="C7" s="5" t="s">
        <v>868</v>
      </c>
      <c r="D7" s="5" t="s">
        <v>869</v>
      </c>
      <c r="E7" s="5" t="s">
        <v>870</v>
      </c>
    </row>
    <row r="8" ht="16.5" spans="1:5">
      <c r="A8" s="4" t="s">
        <v>871</v>
      </c>
      <c r="B8" s="5" t="s">
        <v>872</v>
      </c>
      <c r="C8" s="5" t="s">
        <v>873</v>
      </c>
      <c r="D8" s="5" t="s">
        <v>874</v>
      </c>
      <c r="E8" s="5" t="s">
        <v>875</v>
      </c>
    </row>
    <row r="9" ht="16.5" spans="1:5">
      <c r="A9" s="4" t="s">
        <v>876</v>
      </c>
      <c r="B9" s="5" t="s">
        <v>877</v>
      </c>
      <c r="C9" s="5" t="s">
        <v>878</v>
      </c>
      <c r="D9" s="5" t="s">
        <v>879</v>
      </c>
      <c r="E9" s="5" t="s">
        <v>880</v>
      </c>
    </row>
    <row r="10" ht="33" spans="1:5">
      <c r="A10" s="4" t="s">
        <v>881</v>
      </c>
      <c r="B10" s="5" t="s">
        <v>882</v>
      </c>
      <c r="C10" s="5" t="s">
        <v>883</v>
      </c>
      <c r="D10" s="5" t="s">
        <v>884</v>
      </c>
      <c r="E10" s="5" t="s">
        <v>885</v>
      </c>
    </row>
    <row r="11" ht="16.5" spans="1:5">
      <c r="A11" s="4" t="s">
        <v>886</v>
      </c>
      <c r="B11" s="5" t="s">
        <v>887</v>
      </c>
      <c r="C11" s="5" t="s">
        <v>888</v>
      </c>
      <c r="D11" s="5" t="s">
        <v>889</v>
      </c>
      <c r="E11" s="5" t="s">
        <v>890</v>
      </c>
    </row>
    <row r="12" ht="16.5" spans="1:5">
      <c r="A12" s="4" t="s">
        <v>891</v>
      </c>
      <c r="B12" s="5" t="s">
        <v>892</v>
      </c>
      <c r="C12" s="5" t="s">
        <v>893</v>
      </c>
      <c r="D12" s="5" t="s">
        <v>894</v>
      </c>
      <c r="E12" s="5" t="s">
        <v>895</v>
      </c>
    </row>
    <row r="13" ht="16.5" spans="1:5">
      <c r="A13" s="4" t="s">
        <v>896</v>
      </c>
      <c r="B13" s="5" t="s">
        <v>897</v>
      </c>
      <c r="C13" s="5" t="s">
        <v>898</v>
      </c>
      <c r="D13" s="5" t="s">
        <v>899</v>
      </c>
      <c r="E13" s="5" t="s">
        <v>900</v>
      </c>
    </row>
    <row r="15" ht="26" customHeight="1" spans="1:7">
      <c r="A15" s="1" t="s">
        <v>901</v>
      </c>
      <c r="B15" s="2"/>
      <c r="C15" s="2"/>
      <c r="D15" s="2"/>
      <c r="E15" s="2"/>
      <c r="F15" s="2"/>
      <c r="G15" s="2"/>
    </row>
    <row r="16" ht="28" customHeight="1" spans="1:7">
      <c r="A16" s="3" t="s">
        <v>902</v>
      </c>
      <c r="B16" s="3" t="s">
        <v>903</v>
      </c>
      <c r="C16" s="3" t="s">
        <v>904</v>
      </c>
      <c r="D16" s="3" t="s">
        <v>905</v>
      </c>
      <c r="E16" s="3" t="s">
        <v>906</v>
      </c>
      <c r="F16" s="3" t="s">
        <v>907</v>
      </c>
      <c r="G16" s="3" t="s">
        <v>908</v>
      </c>
    </row>
    <row r="17" ht="16.5" spans="1:7">
      <c r="A17" s="6" t="s">
        <v>909</v>
      </c>
      <c r="B17" s="5" t="s">
        <v>910</v>
      </c>
      <c r="C17" s="5" t="s">
        <v>911</v>
      </c>
      <c r="D17" s="5" t="s">
        <v>912</v>
      </c>
      <c r="E17" s="5" t="s">
        <v>913</v>
      </c>
      <c r="F17" s="5" t="s">
        <v>914</v>
      </c>
      <c r="G17" s="5" t="s">
        <v>915</v>
      </c>
    </row>
    <row r="18" ht="16.5" spans="1:7">
      <c r="A18" s="6" t="s">
        <v>916</v>
      </c>
      <c r="B18" s="5" t="s">
        <v>910</v>
      </c>
      <c r="C18" s="5" t="s">
        <v>917</v>
      </c>
      <c r="D18" s="5" t="s">
        <v>918</v>
      </c>
      <c r="E18" s="5" t="s">
        <v>919</v>
      </c>
      <c r="F18" s="5" t="s">
        <v>920</v>
      </c>
      <c r="G18" s="5" t="s">
        <v>921</v>
      </c>
    </row>
    <row r="19" ht="33" spans="1:7">
      <c r="A19" s="6" t="s">
        <v>922</v>
      </c>
      <c r="B19" s="5" t="s">
        <v>923</v>
      </c>
      <c r="C19" s="5" t="s">
        <v>924</v>
      </c>
      <c r="D19" s="5" t="s">
        <v>925</v>
      </c>
      <c r="E19" s="5" t="s">
        <v>926</v>
      </c>
      <c r="F19" s="5" t="s">
        <v>927</v>
      </c>
      <c r="G19" s="5" t="s">
        <v>928</v>
      </c>
    </row>
    <row r="20" ht="33" spans="1:7">
      <c r="A20" s="6" t="s">
        <v>929</v>
      </c>
      <c r="B20" s="5" t="s">
        <v>930</v>
      </c>
      <c r="C20" s="5" t="s">
        <v>931</v>
      </c>
      <c r="D20" s="5" t="s">
        <v>932</v>
      </c>
      <c r="E20" s="5" t="s">
        <v>933</v>
      </c>
      <c r="F20" s="5" t="s">
        <v>934</v>
      </c>
      <c r="G20" s="5" t="s">
        <v>935</v>
      </c>
    </row>
    <row r="21" ht="16.5" spans="1:7">
      <c r="A21" s="6" t="s">
        <v>936</v>
      </c>
      <c r="B21" s="5" t="s">
        <v>910</v>
      </c>
      <c r="C21" s="5" t="s">
        <v>937</v>
      </c>
      <c r="D21" s="5" t="s">
        <v>938</v>
      </c>
      <c r="E21" s="5" t="s">
        <v>939</v>
      </c>
      <c r="F21" s="5" t="s">
        <v>914</v>
      </c>
      <c r="G21" s="5" t="s">
        <v>940</v>
      </c>
    </row>
    <row r="22" ht="16.5" spans="1:7">
      <c r="A22" s="6" t="s">
        <v>941</v>
      </c>
      <c r="B22" s="5" t="s">
        <v>942</v>
      </c>
      <c r="C22" s="5" t="s">
        <v>943</v>
      </c>
      <c r="D22" s="5" t="s">
        <v>944</v>
      </c>
      <c r="E22" s="5" t="s">
        <v>945</v>
      </c>
      <c r="F22" s="5" t="s">
        <v>946</v>
      </c>
      <c r="G22" s="5" t="s">
        <v>947</v>
      </c>
    </row>
    <row r="23" ht="16.5" spans="1:7">
      <c r="A23" s="6" t="s">
        <v>948</v>
      </c>
      <c r="B23" s="5" t="s">
        <v>949</v>
      </c>
      <c r="C23" s="5" t="s">
        <v>950</v>
      </c>
      <c r="D23" s="5" t="s">
        <v>944</v>
      </c>
      <c r="E23" s="5" t="s">
        <v>951</v>
      </c>
      <c r="F23" s="5" t="s">
        <v>952</v>
      </c>
      <c r="G23" s="5" t="s">
        <v>953</v>
      </c>
    </row>
    <row r="24" ht="16.5" spans="1:7">
      <c r="A24" s="6" t="s">
        <v>954</v>
      </c>
      <c r="B24" s="5" t="s">
        <v>923</v>
      </c>
      <c r="C24" s="5" t="s">
        <v>955</v>
      </c>
      <c r="D24" s="5" t="s">
        <v>956</v>
      </c>
      <c r="E24" s="5" t="s">
        <v>957</v>
      </c>
      <c r="F24" s="5" t="s">
        <v>958</v>
      </c>
      <c r="G24" s="5" t="s">
        <v>959</v>
      </c>
    </row>
    <row r="26" ht="14.25" spans="1:1">
      <c r="A26" s="7" t="s">
        <v>960</v>
      </c>
    </row>
  </sheetData>
  <mergeCells count="3">
    <mergeCell ref="A1:E1"/>
    <mergeCell ref="A15:G15"/>
    <mergeCell ref="A26:G2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封面</vt:lpstr>
      <vt:lpstr>场景化产品包清单</vt:lpstr>
      <vt:lpstr>产品组件库</vt:lpstr>
      <vt:lpstr>定价模板</vt:lpstr>
      <vt:lpstr>正式报价单模板</vt:lpstr>
      <vt:lpstr>销售话术与FAQ</vt:lpstr>
      <vt:lpstr>认证与物流清单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王铭</cp:lastModifiedBy>
  <dcterms:created xsi:type="dcterms:W3CDTF">2026-05-29T03:21:00Z</dcterms:created>
  <dcterms:modified xsi:type="dcterms:W3CDTF">2026-06-03T10:19:30Z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57C24271AB784074BFBC7CF0750DD265_13</vt:lpwstr>
  </property>
  <property fmtid="{D5CDD505-2E9C-101B-9397-08002B2CF9AE}" pid="3" name="KSOProductBuildVer">
    <vt:lpwstr>2052-12.1.0.23125</vt:lpwstr>
  </property>
  <property fmtid="{D5CDD505-2E9C-101B-9397-08002B2CF9AE}" pid="4" name="CalculationRule">
    <vt:i4>0</vt:i4>
  </property>
</Properties>
</file>